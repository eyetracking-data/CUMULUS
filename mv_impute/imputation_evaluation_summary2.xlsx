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xije\Dropbox\Dissertation\konferenzen\sigmod\mv\mv_impute\"/>
    </mc:Choice>
  </mc:AlternateContent>
  <xr:revisionPtr revIDLastSave="0" documentId="13_ncr:1_{6A577F8D-0212-4E39-B1F4-9B8E0A6EDEC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1" r:id="rId1"/>
    <sheet name="Tabelle1" sheetId="4" r:id="rId2"/>
    <sheet name="Tabelle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68" i="4"/>
  <c r="G45" i="4"/>
  <c r="G22" i="4"/>
  <c r="G90" i="4"/>
  <c r="G67" i="4"/>
  <c r="G44" i="4"/>
  <c r="G21" i="4"/>
  <c r="G89" i="4"/>
  <c r="G66" i="4"/>
  <c r="G43" i="4"/>
  <c r="G20" i="4"/>
  <c r="G88" i="4"/>
  <c r="G65" i="4"/>
  <c r="G42" i="4"/>
  <c r="G19" i="4"/>
  <c r="G87" i="4"/>
  <c r="G64" i="4"/>
  <c r="G41" i="4"/>
  <c r="G18" i="4"/>
  <c r="G86" i="4"/>
  <c r="G63" i="4"/>
  <c r="G40" i="4"/>
  <c r="G17" i="4"/>
  <c r="G85" i="4"/>
  <c r="G62" i="4"/>
  <c r="G39" i="4"/>
  <c r="G16" i="4"/>
  <c r="G84" i="4"/>
  <c r="G61" i="4"/>
  <c r="G38" i="4"/>
  <c r="G15" i="4"/>
  <c r="G83" i="4"/>
  <c r="G60" i="4"/>
  <c r="G37" i="4"/>
  <c r="G14" i="4"/>
  <c r="G82" i="4"/>
  <c r="G59" i="4"/>
  <c r="G36" i="4"/>
  <c r="G13" i="4"/>
  <c r="G81" i="4"/>
  <c r="G58" i="4"/>
  <c r="G35" i="4"/>
  <c r="G12" i="4"/>
  <c r="G80" i="4"/>
  <c r="G57" i="4"/>
  <c r="G34" i="4"/>
  <c r="G11" i="4"/>
  <c r="G79" i="4"/>
  <c r="G56" i="4"/>
  <c r="G33" i="4"/>
  <c r="G10" i="4"/>
  <c r="G78" i="4"/>
  <c r="G55" i="4"/>
  <c r="G32" i="4"/>
  <c r="G9" i="4"/>
  <c r="G77" i="4"/>
  <c r="G54" i="4"/>
  <c r="G31" i="4"/>
  <c r="G8" i="4"/>
  <c r="G76" i="4"/>
  <c r="G53" i="4"/>
  <c r="G30" i="4"/>
  <c r="G7" i="4"/>
  <c r="G75" i="4"/>
  <c r="G52" i="4"/>
  <c r="G29" i="4"/>
  <c r="G6" i="4"/>
  <c r="G74" i="4"/>
  <c r="G51" i="4"/>
  <c r="G28" i="4"/>
  <c r="G5" i="4"/>
  <c r="G73" i="4"/>
  <c r="G50" i="4"/>
  <c r="G27" i="4"/>
  <c r="G4" i="4"/>
  <c r="G72" i="4"/>
  <c r="G49" i="4"/>
  <c r="G26" i="4"/>
  <c r="G3" i="4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</calcChain>
</file>

<file path=xl/sharedStrings.xml><?xml version="1.0" encoding="utf-8"?>
<sst xmlns="http://schemas.openxmlformats.org/spreadsheetml/2006/main" count="176" uniqueCount="18">
  <si>
    <t>Feature</t>
  </si>
  <si>
    <t>Method</t>
  </si>
  <si>
    <t>RMSE</t>
  </si>
  <si>
    <t>MAE</t>
  </si>
  <si>
    <t>Wilcoxon Stat</t>
  </si>
  <si>
    <t>Wilcoxon P-Value</t>
  </si>
  <si>
    <t>Gaze X</t>
  </si>
  <si>
    <t>Gaze Y</t>
  </si>
  <si>
    <t>ET_PupilLeft</t>
  </si>
  <si>
    <t>ET_PupilRight</t>
  </si>
  <si>
    <t>mean</t>
  </si>
  <si>
    <t>locf</t>
  </si>
  <si>
    <t>knn</t>
  </si>
  <si>
    <t>gpr</t>
  </si>
  <si>
    <t>mice</t>
  </si>
  <si>
    <t>Durchschnitt</t>
  </si>
  <si>
    <t>WS</t>
  </si>
  <si>
    <t>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</si>
</sst>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RMSE- Gaze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5"/>
                <c:pt idx="0">
                  <c:v>376.61307225206139</c:v>
                </c:pt>
                <c:pt idx="1">
                  <c:v>447.01410942156627</c:v>
                </c:pt>
                <c:pt idx="2">
                  <c:v>379.45532359404149</c:v>
                </c:pt>
                <c:pt idx="3">
                  <c:v>491.75836197103843</c:v>
                </c:pt>
                <c:pt idx="4">
                  <c:v>391.32490688486098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5-44BA-A45E-14E3F54233E7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5"/>
                <c:pt idx="0">
                  <c:v>374.58779637042608</c:v>
                </c:pt>
                <c:pt idx="1">
                  <c:v>449.85499410205819</c:v>
                </c:pt>
                <c:pt idx="2">
                  <c:v>380.69682600071269</c:v>
                </c:pt>
                <c:pt idx="3">
                  <c:v>493.19450437375741</c:v>
                </c:pt>
                <c:pt idx="4">
                  <c:v>387.59322597434738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5-44BA-A45E-14E3F54233E7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Sheet1!$E$3:$E$7</c:f>
              <c:numCache>
                <c:formatCode>General</c:formatCode>
                <c:ptCount val="5"/>
                <c:pt idx="0">
                  <c:v>366.74660217350822</c:v>
                </c:pt>
                <c:pt idx="1">
                  <c:v>448.59551519436201</c:v>
                </c:pt>
                <c:pt idx="2">
                  <c:v>385.20050927517519</c:v>
                </c:pt>
                <c:pt idx="3">
                  <c:v>492.15955873694969</c:v>
                </c:pt>
                <c:pt idx="4">
                  <c:v>409.67876226969628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45-44BA-A45E-14E3F54233E7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Sheet1!$F$3:$F$7</c:f>
              <c:numCache>
                <c:formatCode>General</c:formatCode>
                <c:ptCount val="5"/>
                <c:pt idx="0">
                  <c:v>363.53689400407029</c:v>
                </c:pt>
                <c:pt idx="1">
                  <c:v>446.12950032795891</c:v>
                </c:pt>
                <c:pt idx="2">
                  <c:v>376.95364393561272</c:v>
                </c:pt>
                <c:pt idx="3">
                  <c:v>554.22889594399658</c:v>
                </c:pt>
                <c:pt idx="4">
                  <c:v>383.68049141740551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45-44BA-A45E-14E3F5423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494544"/>
        <c:axId val="832494064"/>
      </c:barChart>
      <c:catAx>
        <c:axId val="83249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2494064"/>
        <c:crosses val="autoZero"/>
        <c:auto val="1"/>
        <c:lblAlgn val="ctr"/>
        <c:lblOffset val="100"/>
        <c:noMultiLvlLbl val="0"/>
      </c:catAx>
      <c:valAx>
        <c:axId val="83249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249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RMSE-Gaze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Sheet1!$B$8:$B$12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Sheet1!$C$8:$C$12</c:f>
              <c:numCache>
                <c:formatCode>General</c:formatCode>
                <c:ptCount val="5"/>
                <c:pt idx="0">
                  <c:v>261.88153746586602</c:v>
                </c:pt>
                <c:pt idx="1">
                  <c:v>300.07920568405422</c:v>
                </c:pt>
                <c:pt idx="2">
                  <c:v>274.98937052821128</c:v>
                </c:pt>
                <c:pt idx="3">
                  <c:v>370.01022069172831</c:v>
                </c:pt>
                <c:pt idx="4">
                  <c:v>262.03458271803191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E-4BBE-BD99-D3BC7F64343A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Sheet1!$B$8:$B$12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Sheet1!$D$8:$D$12</c:f>
              <c:numCache>
                <c:formatCode>General</c:formatCode>
                <c:ptCount val="5"/>
                <c:pt idx="0">
                  <c:v>257.9926981165595</c:v>
                </c:pt>
                <c:pt idx="1">
                  <c:v>299.16803827306398</c:v>
                </c:pt>
                <c:pt idx="2">
                  <c:v>265.00080705519258</c:v>
                </c:pt>
                <c:pt idx="3">
                  <c:v>370.27940781379192</c:v>
                </c:pt>
                <c:pt idx="4">
                  <c:v>258.54958229210882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E-4BBE-BD99-D3BC7F64343A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Sheet1!$B$8:$B$12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Sheet1!$E$8:$E$12</c:f>
              <c:numCache>
                <c:formatCode>General</c:formatCode>
                <c:ptCount val="5"/>
                <c:pt idx="0">
                  <c:v>256.05635607712532</c:v>
                </c:pt>
                <c:pt idx="1">
                  <c:v>297.68338525273867</c:v>
                </c:pt>
                <c:pt idx="2">
                  <c:v>258.79211138119638</c:v>
                </c:pt>
                <c:pt idx="3">
                  <c:v>368.74921092637072</c:v>
                </c:pt>
                <c:pt idx="4">
                  <c:v>257.06296415701269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5E-4BBE-BD99-D3BC7F64343A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Sheet1!$B$8:$B$12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Sheet1!$F$8:$F$12</c:f>
              <c:numCache>
                <c:formatCode>General</c:formatCode>
                <c:ptCount val="5"/>
                <c:pt idx="0">
                  <c:v>257.73930671799252</c:v>
                </c:pt>
                <c:pt idx="1">
                  <c:v>301.80886365477562</c:v>
                </c:pt>
                <c:pt idx="2">
                  <c:v>264.67766184634189</c:v>
                </c:pt>
                <c:pt idx="3">
                  <c:v>372.13170831434331</c:v>
                </c:pt>
                <c:pt idx="4">
                  <c:v>260.94215603606938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5E-4BBE-BD99-D3BC7F643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386224"/>
        <c:axId val="1069385264"/>
      </c:barChart>
      <c:catAx>
        <c:axId val="106938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9385264"/>
        <c:crosses val="autoZero"/>
        <c:auto val="1"/>
        <c:lblAlgn val="ctr"/>
        <c:lblOffset val="100"/>
        <c:noMultiLvlLbl val="0"/>
      </c:catAx>
      <c:valAx>
        <c:axId val="106938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938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MAE - Gaze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Sheet1!$H$3:$H$7</c:f>
              <c:numCache>
                <c:formatCode>General</c:formatCode>
                <c:ptCount val="5"/>
                <c:pt idx="0">
                  <c:v>284.34886121743853</c:v>
                </c:pt>
                <c:pt idx="1">
                  <c:v>332.72155688622752</c:v>
                </c:pt>
                <c:pt idx="2">
                  <c:v>286.19608267641928</c:v>
                </c:pt>
                <c:pt idx="3">
                  <c:v>367.70555683881378</c:v>
                </c:pt>
                <c:pt idx="4">
                  <c:v>308.99550356657869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2-493F-B3A7-3CF263EA921F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Sheet1!$I$3:$I$7</c:f>
              <c:numCache>
                <c:formatCode>General</c:formatCode>
                <c:ptCount val="5"/>
                <c:pt idx="0">
                  <c:v>282.42824941455228</c:v>
                </c:pt>
                <c:pt idx="1">
                  <c:v>334.10279441117763</c:v>
                </c:pt>
                <c:pt idx="2">
                  <c:v>287.90141362195101</c:v>
                </c:pt>
                <c:pt idx="3">
                  <c:v>368.95455735594771</c:v>
                </c:pt>
                <c:pt idx="4">
                  <c:v>304.86736403747062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2-493F-B3A7-3CF263EA921F}"/>
            </c:ext>
          </c:extLst>
        </c:ser>
        <c:ser>
          <c:idx val="2"/>
          <c:order val="2"/>
          <c:tx>
            <c:strRef>
              <c:f>Sheet1!$J$2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Sheet1!$J$3:$J$7</c:f>
              <c:numCache>
                <c:formatCode>General</c:formatCode>
                <c:ptCount val="5"/>
                <c:pt idx="0">
                  <c:v>277.74793532805433</c:v>
                </c:pt>
                <c:pt idx="1">
                  <c:v>333.15219560878239</c:v>
                </c:pt>
                <c:pt idx="2">
                  <c:v>282.96314412499731</c:v>
                </c:pt>
                <c:pt idx="3">
                  <c:v>368.51017006172788</c:v>
                </c:pt>
                <c:pt idx="4">
                  <c:v>324.85804399523619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2-493F-B3A7-3CF263EA921F}"/>
            </c:ext>
          </c:extLst>
        </c:ser>
        <c:ser>
          <c:idx val="3"/>
          <c:order val="3"/>
          <c:tx>
            <c:strRef>
              <c:f>Sheet1!$K$2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Sheet1!$K$3:$K$7</c:f>
              <c:numCache>
                <c:formatCode>General</c:formatCode>
                <c:ptCount val="5"/>
                <c:pt idx="0">
                  <c:v>275.6143420668854</c:v>
                </c:pt>
                <c:pt idx="1">
                  <c:v>330.47679640718559</c:v>
                </c:pt>
                <c:pt idx="2">
                  <c:v>282.78193531406919</c:v>
                </c:pt>
                <c:pt idx="3">
                  <c:v>433.91454590818358</c:v>
                </c:pt>
                <c:pt idx="4">
                  <c:v>303.58789862033262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42-493F-B3A7-3CF263EA9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07872"/>
        <c:axId val="934009312"/>
      </c:barChart>
      <c:catAx>
        <c:axId val="93400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4009312"/>
        <c:crosses val="autoZero"/>
        <c:auto val="1"/>
        <c:lblAlgn val="ctr"/>
        <c:lblOffset val="100"/>
        <c:noMultiLvlLbl val="0"/>
      </c:catAx>
      <c:valAx>
        <c:axId val="93400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400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MAE - Gaze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Sheet1!$B$8:$B$12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Sheet1!$H$8:$H$12</c:f>
              <c:numCache>
                <c:formatCode>General</c:formatCode>
                <c:ptCount val="5"/>
                <c:pt idx="0">
                  <c:v>159.8829664583109</c:v>
                </c:pt>
                <c:pt idx="1">
                  <c:v>205.63273137697519</c:v>
                </c:pt>
                <c:pt idx="2">
                  <c:v>180.95461593767061</c:v>
                </c:pt>
                <c:pt idx="3">
                  <c:v>282.96150045762312</c:v>
                </c:pt>
                <c:pt idx="4">
                  <c:v>163.4919067150704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4-41BA-A085-A5965849874C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Sheet1!$B$8:$B$12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Sheet1!$I$8:$I$12</c:f>
              <c:numCache>
                <c:formatCode>General</c:formatCode>
                <c:ptCount val="5"/>
                <c:pt idx="0">
                  <c:v>159.25786389140151</c:v>
                </c:pt>
                <c:pt idx="1">
                  <c:v>205.4528216704289</c:v>
                </c:pt>
                <c:pt idx="2">
                  <c:v>172.1416383311452</c:v>
                </c:pt>
                <c:pt idx="3">
                  <c:v>283.49385622946261</c:v>
                </c:pt>
                <c:pt idx="4">
                  <c:v>163.7733988405671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4-41BA-A085-A5965849874C}"/>
            </c:ext>
          </c:extLst>
        </c:ser>
        <c:ser>
          <c:idx val="2"/>
          <c:order val="2"/>
          <c:tx>
            <c:strRef>
              <c:f>Sheet1!$J$2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Sheet1!$B$8:$B$12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Sheet1!$J$8:$J$12</c:f>
              <c:numCache>
                <c:formatCode>General</c:formatCode>
                <c:ptCount val="5"/>
                <c:pt idx="0">
                  <c:v>156.5525896964177</c:v>
                </c:pt>
                <c:pt idx="1">
                  <c:v>203.39209932279911</c:v>
                </c:pt>
                <c:pt idx="2">
                  <c:v>165.20557042445361</c:v>
                </c:pt>
                <c:pt idx="3">
                  <c:v>282.29399777539692</c:v>
                </c:pt>
                <c:pt idx="4">
                  <c:v>165.2055328322447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4-41BA-A085-A5965849874C}"/>
            </c:ext>
          </c:extLst>
        </c:ser>
        <c:ser>
          <c:idx val="3"/>
          <c:order val="3"/>
          <c:tx>
            <c:strRef>
              <c:f>Sheet1!$K$2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Sheet1!$B$8:$B$12</c:f>
              <c:strCache>
                <c:ptCount val="5"/>
                <c:pt idx="0">
                  <c:v>mean</c:v>
                </c:pt>
                <c:pt idx="1">
                  <c:v>locf</c:v>
                </c:pt>
                <c:pt idx="2">
                  <c:v>knn</c:v>
                </c:pt>
                <c:pt idx="3">
                  <c:v>gpr</c:v>
                </c:pt>
                <c:pt idx="4">
                  <c:v>mice</c:v>
                </c:pt>
              </c:strCache>
            </c:strRef>
          </c:cat>
          <c:val>
            <c:numRef>
              <c:f>Sheet1!$K$8:$K$12</c:f>
              <c:numCache>
                <c:formatCode>General</c:formatCode>
                <c:ptCount val="5"/>
                <c:pt idx="0">
                  <c:v>159.4016291635599</c:v>
                </c:pt>
                <c:pt idx="1">
                  <c:v>210.34514672686231</c:v>
                </c:pt>
                <c:pt idx="2">
                  <c:v>172.33830505704631</c:v>
                </c:pt>
                <c:pt idx="3">
                  <c:v>285.44265868137683</c:v>
                </c:pt>
                <c:pt idx="4">
                  <c:v>170.80472603339109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A4-41BA-A085-A59658498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07872"/>
        <c:axId val="934009312"/>
      </c:barChart>
      <c:catAx>
        <c:axId val="93400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4009312"/>
        <c:crosses val="autoZero"/>
        <c:auto val="1"/>
        <c:lblAlgn val="ctr"/>
        <c:lblOffset val="100"/>
        <c:noMultiLvlLbl val="0"/>
      </c:catAx>
      <c:valAx>
        <c:axId val="93400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400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Sheet1!$A$3:$B$3</c:f>
              <c:strCache>
                <c:ptCount val="2"/>
                <c:pt idx="0">
                  <c:v>Gaze X</c:v>
                </c:pt>
                <c:pt idx="1">
                  <c:v>mean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Sheet1!$C$2:$F$2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Sheet1!$C$3:$F$3</c:f>
              <c:numCache>
                <c:formatCode>General</c:formatCode>
                <c:ptCount val="4"/>
                <c:pt idx="0">
                  <c:v>376.61307225206139</c:v>
                </c:pt>
                <c:pt idx="1">
                  <c:v>374.58779637042608</c:v>
                </c:pt>
                <c:pt idx="2">
                  <c:v>366.74660217350822</c:v>
                </c:pt>
                <c:pt idx="3">
                  <c:v>363.53689400407029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4F-4C70-9B98-DDA39C434224}"/>
            </c:ext>
          </c:extLst>
        </c:ser>
        <c:ser>
          <c:idx val="2"/>
          <c:order val="1"/>
          <c:tx>
            <c:strRef>
              <c:f>Sheet1!$A$4:$B$4</c:f>
              <c:strCache>
                <c:ptCount val="2"/>
                <c:pt idx="0">
                  <c:v>Gaze X</c:v>
                </c:pt>
                <c:pt idx="1">
                  <c:v>locf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Sheet1!$C$2:$F$2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Sheet1!$C$4:$F$4</c:f>
              <c:numCache>
                <c:formatCode>General</c:formatCode>
                <c:ptCount val="4"/>
                <c:pt idx="0">
                  <c:v>447.01410942156627</c:v>
                </c:pt>
                <c:pt idx="1">
                  <c:v>449.85499410205819</c:v>
                </c:pt>
                <c:pt idx="2">
                  <c:v>448.59551519436201</c:v>
                </c:pt>
                <c:pt idx="3">
                  <c:v>446.12950032795891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4F-4C70-9B98-DDA39C434224}"/>
            </c:ext>
          </c:extLst>
        </c:ser>
        <c:ser>
          <c:idx val="3"/>
          <c:order val="2"/>
          <c:tx>
            <c:strRef>
              <c:f>Sheet1!$A$5:$B$5</c:f>
              <c:strCache>
                <c:ptCount val="2"/>
                <c:pt idx="0">
                  <c:v>Gaze X</c:v>
                </c:pt>
                <c:pt idx="1">
                  <c:v>knn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Sheet1!$C$2:$F$2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Sheet1!$C$5:$F$5</c:f>
              <c:numCache>
                <c:formatCode>General</c:formatCode>
                <c:ptCount val="4"/>
                <c:pt idx="0">
                  <c:v>379.45532359404149</c:v>
                </c:pt>
                <c:pt idx="1">
                  <c:v>380.69682600071269</c:v>
                </c:pt>
                <c:pt idx="2">
                  <c:v>385.20050927517519</c:v>
                </c:pt>
                <c:pt idx="3">
                  <c:v>376.95364393561272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4F-4C70-9B98-DDA39C434224}"/>
            </c:ext>
          </c:extLst>
        </c:ser>
        <c:ser>
          <c:idx val="4"/>
          <c:order val="3"/>
          <c:tx>
            <c:strRef>
              <c:f>Sheet1!$A$6:$B$6</c:f>
              <c:strCache>
                <c:ptCount val="2"/>
                <c:pt idx="0">
                  <c:v>Gaze X</c:v>
                </c:pt>
                <c:pt idx="1">
                  <c:v>gpr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Sheet1!$C$2:$F$2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Sheet1!$C$6:$F$6</c:f>
              <c:numCache>
                <c:formatCode>General</c:formatCode>
                <c:ptCount val="4"/>
                <c:pt idx="0">
                  <c:v>491.75836197103843</c:v>
                </c:pt>
                <c:pt idx="1">
                  <c:v>493.19450437375741</c:v>
                </c:pt>
                <c:pt idx="2">
                  <c:v>492.15955873694969</c:v>
                </c:pt>
                <c:pt idx="3">
                  <c:v>554.22889594399658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4F-4C70-9B98-DDA39C434224}"/>
            </c:ext>
          </c:extLst>
        </c:ser>
        <c:ser>
          <c:idx val="5"/>
          <c:order val="4"/>
          <c:tx>
            <c:strRef>
              <c:f>Sheet1!$A$7:$B$7</c:f>
              <c:strCache>
                <c:ptCount val="2"/>
                <c:pt idx="0">
                  <c:v>Gaze X</c:v>
                </c:pt>
                <c:pt idx="1">
                  <c:v>mice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Sheet1!$C$2:$F$2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Sheet1!$C$7:$F$7</c:f>
              <c:numCache>
                <c:formatCode>General</c:formatCode>
                <c:ptCount val="4"/>
                <c:pt idx="0">
                  <c:v>391.32490688486098</c:v>
                </c:pt>
                <c:pt idx="1">
                  <c:v>387.59322597434738</c:v>
                </c:pt>
                <c:pt idx="2">
                  <c:v>409.67876226969628</c:v>
                </c:pt>
                <c:pt idx="3">
                  <c:v>383.68049141740551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4F-4C70-9B98-DDA39C434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011600"/>
        <c:axId val="1550011120"/>
      </c:lineChart>
      <c:catAx>
        <c:axId val="1550011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011120"/>
        <c:crosses val="autoZero"/>
        <c:auto val="1"/>
        <c:lblAlgn val="ctr"/>
        <c:lblOffset val="100"/>
        <c:noMultiLvlLbl val="0"/>
      </c:catAx>
      <c:valAx>
        <c:axId val="1550011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01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Sheet1!$C$2:$F$2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Sheet1!$C$3:$F$3</c:f>
              <c:numCache>
                <c:formatCode>General</c:formatCode>
                <c:ptCount val="4"/>
                <c:pt idx="0">
                  <c:v>376.61307225206139</c:v>
                </c:pt>
                <c:pt idx="1">
                  <c:v>374.58779637042608</c:v>
                </c:pt>
                <c:pt idx="2">
                  <c:v>366.74660217350822</c:v>
                </c:pt>
                <c:pt idx="3">
                  <c:v>363.53689400407029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6-432A-9B8C-332DC6418F13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locf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Sheet1!$C$2:$F$2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Sheet1!$C$4:$F$4</c:f>
              <c:numCache>
                <c:formatCode>General</c:formatCode>
                <c:ptCount val="4"/>
                <c:pt idx="0">
                  <c:v>447.01410942156627</c:v>
                </c:pt>
                <c:pt idx="1">
                  <c:v>449.85499410205819</c:v>
                </c:pt>
                <c:pt idx="2">
                  <c:v>448.59551519436201</c:v>
                </c:pt>
                <c:pt idx="3">
                  <c:v>446.12950032795891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6-432A-9B8C-332DC6418F13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Sheet1!$C$2:$F$2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Sheet1!$C$5:$F$5</c:f>
              <c:numCache>
                <c:formatCode>General</c:formatCode>
                <c:ptCount val="4"/>
                <c:pt idx="0">
                  <c:v>379.45532359404149</c:v>
                </c:pt>
                <c:pt idx="1">
                  <c:v>380.69682600071269</c:v>
                </c:pt>
                <c:pt idx="2">
                  <c:v>385.20050927517519</c:v>
                </c:pt>
                <c:pt idx="3">
                  <c:v>376.95364393561272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6-432A-9B8C-332DC6418F13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gpr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Sheet1!$C$2:$F$2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Sheet1!$C$6:$F$6</c:f>
              <c:numCache>
                <c:formatCode>General</c:formatCode>
                <c:ptCount val="4"/>
                <c:pt idx="0">
                  <c:v>491.75836197103843</c:v>
                </c:pt>
                <c:pt idx="1">
                  <c:v>493.19450437375741</c:v>
                </c:pt>
                <c:pt idx="2">
                  <c:v>492.15955873694969</c:v>
                </c:pt>
                <c:pt idx="3">
                  <c:v>554.22889594399658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C6-432A-9B8C-332DC6418F13}"/>
            </c:ext>
          </c:extLst>
        </c:ser>
        <c:ser>
          <c:idx val="4"/>
          <c:order val="4"/>
          <c:tx>
            <c:strRef>
              <c:f>Sheet1!$B$7</c:f>
              <c:strCache>
                <c:ptCount val="1"/>
                <c:pt idx="0">
                  <c:v>mice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Sheet1!$C$2:$F$2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Sheet1!$C$7:$F$7</c:f>
              <c:numCache>
                <c:formatCode>General</c:formatCode>
                <c:ptCount val="4"/>
                <c:pt idx="0">
                  <c:v>391.32490688486098</c:v>
                </c:pt>
                <c:pt idx="1">
                  <c:v>387.59322597434738</c:v>
                </c:pt>
                <c:pt idx="2">
                  <c:v>409.67876226969628</c:v>
                </c:pt>
                <c:pt idx="3">
                  <c:v>383.68049141740551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C6-432A-9B8C-332DC6418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957248"/>
        <c:axId val="1078957728"/>
      </c:lineChart>
      <c:catAx>
        <c:axId val="107895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8957728"/>
        <c:crosses val="autoZero"/>
        <c:auto val="1"/>
        <c:lblAlgn val="ctr"/>
        <c:lblOffset val="100"/>
        <c:noMultiLvlLbl val="0"/>
      </c:catAx>
      <c:valAx>
        <c:axId val="107895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8957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Tabelle2!$C$2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Tabelle2!$A$3:$B$12</c15:sqref>
                  </c15:fullRef>
                </c:ext>
              </c:extLst>
              <c:f>Tabelle2!$A$3:$B$7</c:f>
              <c:multiLvlStrCache>
                <c:ptCount val="5"/>
                <c:lvl>
                  <c:pt idx="0">
                    <c:v>mean</c:v>
                  </c:pt>
                  <c:pt idx="1">
                    <c:v>locf</c:v>
                  </c:pt>
                  <c:pt idx="2">
                    <c:v>knn</c:v>
                  </c:pt>
                  <c:pt idx="3">
                    <c:v>gpr</c:v>
                  </c:pt>
                  <c:pt idx="4">
                    <c:v>mice</c:v>
                  </c:pt>
                </c:lvl>
                <c:lvl>
                  <c:pt idx="0">
                    <c:v>Gaze X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Tabelle2!$C$3:$C$12</c15:sqref>
                  </c15:fullRef>
                </c:ext>
              </c:extLst>
              <c:f>Tabelle2!$C$3:$C$7</c:f>
              <c:numCache>
                <c:formatCode>0.00</c:formatCode>
                <c:ptCount val="5"/>
                <c:pt idx="0">
                  <c:v>370.37109120001651</c:v>
                </c:pt>
                <c:pt idx="1">
                  <c:v>447.89852976148632</c:v>
                </c:pt>
                <c:pt idx="2">
                  <c:v>380.57657570138554</c:v>
                </c:pt>
                <c:pt idx="3">
                  <c:v>507.83533025643555</c:v>
                </c:pt>
                <c:pt idx="4">
                  <c:v>393.06934663657751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0-4159-B10C-D236CF24FCD9}"/>
            </c:ext>
          </c:extLst>
        </c:ser>
        <c:ser>
          <c:idx val="1"/>
          <c:order val="1"/>
          <c:tx>
            <c:strRef>
              <c:f>Tabelle2!$D$2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Tabelle2!$A$3:$B$12</c15:sqref>
                  </c15:fullRef>
                </c:ext>
              </c:extLst>
              <c:f>Tabelle2!$A$3:$B$7</c:f>
              <c:multiLvlStrCache>
                <c:ptCount val="5"/>
                <c:lvl>
                  <c:pt idx="0">
                    <c:v>mean</c:v>
                  </c:pt>
                  <c:pt idx="1">
                    <c:v>locf</c:v>
                  </c:pt>
                  <c:pt idx="2">
                    <c:v>knn</c:v>
                  </c:pt>
                  <c:pt idx="3">
                    <c:v>gpr</c:v>
                  </c:pt>
                  <c:pt idx="4">
                    <c:v>mice</c:v>
                  </c:pt>
                </c:lvl>
                <c:lvl>
                  <c:pt idx="0">
                    <c:v>Gaze X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Tabelle2!$D$3:$D$12</c15:sqref>
                  </c15:fullRef>
                </c:ext>
              </c:extLst>
              <c:f>Tabelle2!$D$3:$D$7</c:f>
              <c:numCache>
                <c:formatCode>0.00</c:formatCode>
                <c:ptCount val="5"/>
                <c:pt idx="0">
                  <c:v>280.03484700673266</c:v>
                </c:pt>
                <c:pt idx="1">
                  <c:v>332.61333582834334</c:v>
                </c:pt>
                <c:pt idx="2">
                  <c:v>284.96064393435921</c:v>
                </c:pt>
                <c:pt idx="3">
                  <c:v>384.77120754116822</c:v>
                </c:pt>
                <c:pt idx="4">
                  <c:v>310.57720255490455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0-4159-B10C-D236CF24F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343344"/>
        <c:axId val="1322341904"/>
      </c:barChart>
      <c:catAx>
        <c:axId val="132234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2341904"/>
        <c:crosses val="autoZero"/>
        <c:auto val="1"/>
        <c:lblAlgn val="ctr"/>
        <c:lblOffset val="100"/>
        <c:noMultiLvlLbl val="0"/>
      </c:catAx>
      <c:valAx>
        <c:axId val="132234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2343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1699952448882549"/>
          <c:y val="2.2935779816513763E-2"/>
          <c:w val="0.19690899015654426"/>
          <c:h val="6.8329962195092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23</xdr:row>
      <xdr:rowOff>91440</xdr:rowOff>
    </xdr:from>
    <xdr:to>
      <xdr:col>7</xdr:col>
      <xdr:colOff>167640</xdr:colOff>
      <xdr:row>38</xdr:row>
      <xdr:rowOff>91440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83C8BAD-D12F-C50E-0B24-6EB4C55FB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236220</xdr:colOff>
      <xdr:row>42</xdr:row>
      <xdr:rowOff>91440</xdr:rowOff>
    </xdr:from>
    <xdr:to>
      <xdr:col>7</xdr:col>
      <xdr:colOff>99060</xdr:colOff>
      <xdr:row>57</xdr:row>
      <xdr:rowOff>91440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178606B-9C62-20EC-B57A-3349F8EF7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23</xdr:row>
      <xdr:rowOff>99060</xdr:rowOff>
    </xdr:from>
    <xdr:to>
      <xdr:col>14</xdr:col>
      <xdr:colOff>670560</xdr:colOff>
      <xdr:row>38</xdr:row>
      <xdr:rowOff>99060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E537B01C-5080-E45C-EF8E-17F4E0EAD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441960</xdr:colOff>
      <xdr:row>40</xdr:row>
      <xdr:rowOff>160020</xdr:rowOff>
    </xdr:from>
    <xdr:to>
      <xdr:col>15</xdr:col>
      <xdr:colOff>106680</xdr:colOff>
      <xdr:row>55</xdr:row>
      <xdr:rowOff>160020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77297A27-4301-444C-A9D6-ABE04B78F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434340</xdr:colOff>
      <xdr:row>23</xdr:row>
      <xdr:rowOff>106680</xdr:rowOff>
    </xdr:from>
    <xdr:to>
      <xdr:col>21</xdr:col>
      <xdr:colOff>160020</xdr:colOff>
      <xdr:row>38</xdr:row>
      <xdr:rowOff>106680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842F6B6D-3166-DA44-BA98-039D141E7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251460</xdr:colOff>
      <xdr:row>58</xdr:row>
      <xdr:rowOff>129540</xdr:rowOff>
    </xdr:from>
    <xdr:to>
      <xdr:col>7</xdr:col>
      <xdr:colOff>259080</xdr:colOff>
      <xdr:row>73</xdr:row>
      <xdr:rowOff>53340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2CE75657-8881-B82C-2D50-C95E005EC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3</xdr:row>
      <xdr:rowOff>22860</xdr:rowOff>
    </xdr:from>
    <xdr:to>
      <xdr:col>13</xdr:col>
      <xdr:colOff>99060</xdr:colOff>
      <xdr:row>21</xdr:row>
      <xdr:rowOff>53340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96DCC17-505A-C460-AEA1-1D02803F5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opLeftCell="I1" workbookViewId="0">
      <selection sqref="A1:V22"/>
    </sheetView>
  </sheetViews>
  <sheetFormatPr baseColWidth="10" defaultColWidth="8.88671875" defaultRowHeight="14.4" x14ac:dyDescent="0.3"/>
  <cols>
    <col min="1" max="1" width="16" customWidth="1"/>
    <col min="7" max="7" width="10.6640625" customWidth="1"/>
    <col min="8" max="17" width="10.21875" customWidth="1"/>
    <col min="18" max="21" width="12.5546875" customWidth="1"/>
    <col min="22" max="22" width="10.88671875" customWidth="1"/>
  </cols>
  <sheetData>
    <row r="1" spans="1:22" x14ac:dyDescent="0.3">
      <c r="C1" s="8" t="s">
        <v>2</v>
      </c>
      <c r="D1" s="8"/>
      <c r="E1" s="8"/>
      <c r="F1" s="8"/>
      <c r="G1" s="8"/>
      <c r="H1" s="8" t="s">
        <v>3</v>
      </c>
      <c r="I1" s="8"/>
      <c r="J1" s="8"/>
      <c r="K1" s="8"/>
      <c r="L1" s="9"/>
      <c r="M1" s="10" t="s">
        <v>4</v>
      </c>
      <c r="N1" s="11"/>
      <c r="O1" s="11"/>
      <c r="P1" s="11"/>
      <c r="Q1" s="12"/>
      <c r="R1" s="10" t="s">
        <v>5</v>
      </c>
      <c r="S1" s="11"/>
      <c r="T1" s="11"/>
      <c r="U1" s="11"/>
      <c r="V1" s="11"/>
    </row>
    <row r="2" spans="1:22" x14ac:dyDescent="0.3">
      <c r="A2" s="1" t="s">
        <v>0</v>
      </c>
      <c r="B2" s="1" t="s">
        <v>1</v>
      </c>
      <c r="C2" s="1">
        <v>5</v>
      </c>
      <c r="D2" s="1">
        <v>10</v>
      </c>
      <c r="E2" s="1">
        <v>15</v>
      </c>
      <c r="F2" s="1">
        <v>20</v>
      </c>
      <c r="G2" s="1" t="s">
        <v>15</v>
      </c>
      <c r="H2" s="1">
        <v>5</v>
      </c>
      <c r="I2" s="1">
        <v>10</v>
      </c>
      <c r="J2" s="1">
        <v>15</v>
      </c>
      <c r="K2" s="1">
        <v>20</v>
      </c>
      <c r="L2" s="1" t="s">
        <v>15</v>
      </c>
      <c r="M2" s="1">
        <v>5</v>
      </c>
      <c r="N2" s="1">
        <v>10</v>
      </c>
      <c r="O2" s="1">
        <v>15</v>
      </c>
      <c r="P2" s="1">
        <v>20</v>
      </c>
      <c r="Q2" s="1" t="s">
        <v>15</v>
      </c>
      <c r="R2" s="1">
        <v>5</v>
      </c>
      <c r="S2" s="1">
        <v>10</v>
      </c>
      <c r="T2" s="1">
        <v>15</v>
      </c>
      <c r="U2" s="1">
        <v>20</v>
      </c>
      <c r="V2" s="1" t="s">
        <v>15</v>
      </c>
    </row>
    <row r="3" spans="1:22" x14ac:dyDescent="0.3">
      <c r="A3" s="13" t="s">
        <v>6</v>
      </c>
      <c r="B3" t="s">
        <v>10</v>
      </c>
      <c r="C3">
        <v>376.61307225206139</v>
      </c>
      <c r="D3">
        <v>374.58779637042608</v>
      </c>
      <c r="E3">
        <v>366.74660217350822</v>
      </c>
      <c r="F3">
        <v>363.53689400407029</v>
      </c>
      <c r="G3">
        <f>AVERAGE(C3:F3)</f>
        <v>370.37109120001651</v>
      </c>
      <c r="H3">
        <v>284.34886121743853</v>
      </c>
      <c r="I3">
        <v>282.42824941455228</v>
      </c>
      <c r="J3">
        <v>277.74793532805433</v>
      </c>
      <c r="K3">
        <v>275.6143420668854</v>
      </c>
      <c r="L3">
        <f>AVERAGE(H3:K3)</f>
        <v>280.03484700673266</v>
      </c>
      <c r="M3">
        <v>3995126</v>
      </c>
      <c r="N3">
        <v>3940903</v>
      </c>
      <c r="O3">
        <v>3951423</v>
      </c>
      <c r="P3">
        <v>3963029.5</v>
      </c>
      <c r="Q3">
        <f>AVERAGE(M3:P3)</f>
        <v>3962620.375</v>
      </c>
      <c r="R3">
        <v>0.97951090391221018</v>
      </c>
      <c r="S3">
        <v>0.4421432533129146</v>
      </c>
      <c r="T3">
        <v>0.5146610873846964</v>
      </c>
      <c r="U3">
        <v>0.62226784743879726</v>
      </c>
      <c r="V3">
        <f>AVERAGE(R3:U3)</f>
        <v>0.63964577301215453</v>
      </c>
    </row>
    <row r="4" spans="1:22" x14ac:dyDescent="0.3">
      <c r="A4" s="7"/>
      <c r="B4" t="s">
        <v>11</v>
      </c>
      <c r="C4">
        <v>447.01410942156627</v>
      </c>
      <c r="D4">
        <v>449.85499410205819</v>
      </c>
      <c r="E4">
        <v>448.59551519436201</v>
      </c>
      <c r="F4">
        <v>446.12950032795891</v>
      </c>
      <c r="G4">
        <f t="shared" ref="G4:G22" si="0">AVERAGE(C4:F4)</f>
        <v>447.89852976148632</v>
      </c>
      <c r="H4">
        <v>332.72155688622752</v>
      </c>
      <c r="I4">
        <v>334.10279441117763</v>
      </c>
      <c r="J4">
        <v>333.15219560878239</v>
      </c>
      <c r="K4">
        <v>330.47679640718559</v>
      </c>
      <c r="L4">
        <f t="shared" ref="L4:L22" si="1">AVERAGE(H4:K4)</f>
        <v>332.61333582834334</v>
      </c>
      <c r="M4">
        <v>3597955.5</v>
      </c>
      <c r="N4">
        <v>3595862</v>
      </c>
      <c r="O4">
        <v>3600427</v>
      </c>
      <c r="P4">
        <v>3497413</v>
      </c>
      <c r="Q4">
        <f t="shared" ref="Q4:Q22" si="2">AVERAGE(M4:P4)</f>
        <v>3572914.375</v>
      </c>
      <c r="R4">
        <v>8.0607041937003574E-8</v>
      </c>
      <c r="S4">
        <v>5.9644650894994365E-8</v>
      </c>
      <c r="T4">
        <v>8.4498764519576573E-8</v>
      </c>
      <c r="U4">
        <v>7.273100586160281E-8</v>
      </c>
      <c r="V4">
        <f t="shared" ref="V4:V22" si="3">AVERAGE(R4:U4)</f>
        <v>7.4370365803294334E-8</v>
      </c>
    </row>
    <row r="5" spans="1:22" x14ac:dyDescent="0.3">
      <c r="A5" s="7"/>
      <c r="B5" t="s">
        <v>12</v>
      </c>
      <c r="C5">
        <v>379.45532359404149</v>
      </c>
      <c r="D5">
        <v>380.69682600071269</v>
      </c>
      <c r="E5">
        <v>385.20050927517519</v>
      </c>
      <c r="F5">
        <v>376.95364393561272</v>
      </c>
      <c r="G5">
        <f t="shared" si="0"/>
        <v>380.57657570138554</v>
      </c>
      <c r="H5">
        <v>286.19608267641928</v>
      </c>
      <c r="I5">
        <v>287.90141362195101</v>
      </c>
      <c r="J5">
        <v>282.96314412499731</v>
      </c>
      <c r="K5">
        <v>282.78193531406919</v>
      </c>
      <c r="L5">
        <f t="shared" si="1"/>
        <v>284.96064393435921</v>
      </c>
      <c r="M5">
        <v>3987326.5</v>
      </c>
      <c r="N5">
        <v>3901035.5</v>
      </c>
      <c r="O5">
        <v>3578735</v>
      </c>
      <c r="P5">
        <v>3826664</v>
      </c>
      <c r="Q5">
        <f t="shared" si="2"/>
        <v>3823440.25</v>
      </c>
      <c r="R5">
        <v>0.89455618498151968</v>
      </c>
      <c r="S5">
        <v>0.18857895908968461</v>
      </c>
      <c r="T5">
        <v>8.6234802215078918E-9</v>
      </c>
      <c r="U5">
        <v>1.8262592184038581E-2</v>
      </c>
      <c r="V5">
        <f t="shared" si="3"/>
        <v>0.27534943621968072</v>
      </c>
    </row>
    <row r="6" spans="1:22" x14ac:dyDescent="0.3">
      <c r="A6" s="7"/>
      <c r="B6" t="s">
        <v>13</v>
      </c>
      <c r="C6">
        <v>491.75836197103843</v>
      </c>
      <c r="D6">
        <v>493.19450437375741</v>
      </c>
      <c r="E6">
        <v>492.15955873694969</v>
      </c>
      <c r="F6">
        <v>554.22889594399658</v>
      </c>
      <c r="G6">
        <f t="shared" si="0"/>
        <v>507.83533025643555</v>
      </c>
      <c r="H6">
        <v>367.70555683881378</v>
      </c>
      <c r="I6">
        <v>368.95455735594771</v>
      </c>
      <c r="J6">
        <v>368.51017006172788</v>
      </c>
      <c r="K6">
        <v>433.91454590818358</v>
      </c>
      <c r="L6">
        <f t="shared" si="1"/>
        <v>384.77120754116822</v>
      </c>
      <c r="M6">
        <v>2567092</v>
      </c>
      <c r="N6">
        <v>2553563</v>
      </c>
      <c r="O6">
        <v>2536686</v>
      </c>
      <c r="P6">
        <v>1699713.5</v>
      </c>
      <c r="Q6">
        <f t="shared" si="2"/>
        <v>2339263.625</v>
      </c>
      <c r="R6">
        <v>1.8507374061702799E-85</v>
      </c>
      <c r="S6">
        <v>4.7726226502993633E-87</v>
      </c>
      <c r="T6">
        <v>3.1835733419362182E-89</v>
      </c>
      <c r="U6">
        <v>1.1836555352502219E-217</v>
      </c>
      <c r="V6">
        <f t="shared" si="3"/>
        <v>4.7469549750186682E-86</v>
      </c>
    </row>
    <row r="7" spans="1:22" x14ac:dyDescent="0.3">
      <c r="A7" s="7"/>
      <c r="B7" t="s">
        <v>14</v>
      </c>
      <c r="C7">
        <v>391.32490688486098</v>
      </c>
      <c r="D7">
        <v>387.59322597434738</v>
      </c>
      <c r="E7">
        <v>409.67876226969628</v>
      </c>
      <c r="F7">
        <v>383.68049141740551</v>
      </c>
      <c r="G7">
        <f t="shared" si="0"/>
        <v>393.06934663657751</v>
      </c>
      <c r="H7">
        <v>308.99550356657869</v>
      </c>
      <c r="I7">
        <v>304.86736403747062</v>
      </c>
      <c r="J7">
        <v>324.85804399523619</v>
      </c>
      <c r="K7">
        <v>303.58789862033262</v>
      </c>
      <c r="L7">
        <f t="shared" si="1"/>
        <v>310.57720255490455</v>
      </c>
      <c r="M7">
        <v>3440535</v>
      </c>
      <c r="N7">
        <v>3452881</v>
      </c>
      <c r="O7">
        <v>3145983</v>
      </c>
      <c r="P7">
        <v>3411282.5</v>
      </c>
      <c r="Q7">
        <f t="shared" si="2"/>
        <v>3362670.375</v>
      </c>
      <c r="R7">
        <v>2.45920419308477E-14</v>
      </c>
      <c r="S7">
        <v>8.9965373972762356E-14</v>
      </c>
      <c r="T7">
        <v>1.5642137583432319E-31</v>
      </c>
      <c r="U7">
        <v>8.3362052455029991E-16</v>
      </c>
      <c r="V7">
        <f t="shared" si="3"/>
        <v>2.8847759107040092E-14</v>
      </c>
    </row>
    <row r="8" spans="1:22" x14ac:dyDescent="0.3">
      <c r="A8" s="7" t="s">
        <v>7</v>
      </c>
      <c r="B8" t="s">
        <v>10</v>
      </c>
      <c r="C8">
        <v>261.88153746586602</v>
      </c>
      <c r="D8">
        <v>257.9926981165595</v>
      </c>
      <c r="E8">
        <v>256.05635607712532</v>
      </c>
      <c r="F8">
        <v>257.73930671799252</v>
      </c>
      <c r="G8">
        <f t="shared" si="0"/>
        <v>258.41747459438585</v>
      </c>
      <c r="H8">
        <v>159.8829664583109</v>
      </c>
      <c r="I8">
        <v>159.25786389140151</v>
      </c>
      <c r="J8">
        <v>156.5525896964177</v>
      </c>
      <c r="K8">
        <v>159.4016291635599</v>
      </c>
      <c r="L8">
        <f t="shared" si="1"/>
        <v>158.77376230242248</v>
      </c>
      <c r="M8">
        <v>925211.5</v>
      </c>
      <c r="N8">
        <v>929634</v>
      </c>
      <c r="O8">
        <v>985295.5</v>
      </c>
      <c r="P8">
        <v>1042185.5</v>
      </c>
      <c r="Q8">
        <f t="shared" si="2"/>
        <v>970581.625</v>
      </c>
      <c r="R8">
        <v>5.6114462025268297E-22</v>
      </c>
      <c r="S8">
        <v>2.3505761145853801E-21</v>
      </c>
      <c r="T8">
        <v>9.2299162979591661E-15</v>
      </c>
      <c r="U8">
        <v>2.7374910537295648E-9</v>
      </c>
      <c r="V8">
        <f t="shared" si="3"/>
        <v>6.8437507091219361E-10</v>
      </c>
    </row>
    <row r="9" spans="1:22" x14ac:dyDescent="0.3">
      <c r="A9" s="7"/>
      <c r="B9" t="s">
        <v>11</v>
      </c>
      <c r="C9">
        <v>300.07920568405422</v>
      </c>
      <c r="D9">
        <v>299.16803827306398</v>
      </c>
      <c r="E9">
        <v>297.68338525273867</v>
      </c>
      <c r="F9">
        <v>301.80886365477562</v>
      </c>
      <c r="G9">
        <f t="shared" si="0"/>
        <v>299.68487321615811</v>
      </c>
      <c r="H9">
        <v>205.63273137697519</v>
      </c>
      <c r="I9">
        <v>205.4528216704289</v>
      </c>
      <c r="J9">
        <v>203.39209932279911</v>
      </c>
      <c r="K9">
        <v>210.34514672686231</v>
      </c>
      <c r="L9">
        <f t="shared" si="1"/>
        <v>206.20569977426641</v>
      </c>
      <c r="M9">
        <v>703906</v>
      </c>
      <c r="N9">
        <v>701674</v>
      </c>
      <c r="O9">
        <v>709170</v>
      </c>
      <c r="P9">
        <v>660598</v>
      </c>
      <c r="Q9">
        <f t="shared" si="2"/>
        <v>693837</v>
      </c>
      <c r="R9">
        <v>3.3147860215296789E-65</v>
      </c>
      <c r="S9">
        <v>3.8576426091153291E-66</v>
      </c>
      <c r="T9">
        <v>6.6792273169898083E-64</v>
      </c>
      <c r="U9">
        <v>2.1697044976599289E-71</v>
      </c>
      <c r="V9">
        <f t="shared" si="3"/>
        <v>1.7623206405510947E-64</v>
      </c>
    </row>
    <row r="10" spans="1:22" x14ac:dyDescent="0.3">
      <c r="A10" s="7"/>
      <c r="B10" t="s">
        <v>12</v>
      </c>
      <c r="C10">
        <v>274.98937052821128</v>
      </c>
      <c r="D10">
        <v>265.00080705519258</v>
      </c>
      <c r="E10">
        <v>258.79211138119638</v>
      </c>
      <c r="F10">
        <v>264.67766184634189</v>
      </c>
      <c r="G10">
        <f t="shared" si="0"/>
        <v>265.86498770273556</v>
      </c>
      <c r="H10">
        <v>180.95461593767061</v>
      </c>
      <c r="I10">
        <v>172.1416383311452</v>
      </c>
      <c r="J10">
        <v>165.20557042445361</v>
      </c>
      <c r="K10">
        <v>172.33830505704631</v>
      </c>
      <c r="L10">
        <f t="shared" si="1"/>
        <v>172.66003243757893</v>
      </c>
      <c r="M10">
        <v>1184036</v>
      </c>
      <c r="N10">
        <v>1155402.5</v>
      </c>
      <c r="O10">
        <v>1201433.5</v>
      </c>
      <c r="P10">
        <v>1207094</v>
      </c>
      <c r="Q10">
        <f t="shared" si="2"/>
        <v>1186991.5</v>
      </c>
      <c r="R10">
        <v>0.35440263518594972</v>
      </c>
      <c r="S10">
        <v>5.9249144631655877E-2</v>
      </c>
      <c r="T10">
        <v>0.62477177432495412</v>
      </c>
      <c r="U10">
        <v>0.68205032013657185</v>
      </c>
      <c r="V10">
        <f t="shared" si="3"/>
        <v>0.43011846856978286</v>
      </c>
    </row>
    <row r="11" spans="1:22" x14ac:dyDescent="0.3">
      <c r="A11" s="7"/>
      <c r="B11" t="s">
        <v>13</v>
      </c>
      <c r="C11">
        <v>370.01022069172831</v>
      </c>
      <c r="D11">
        <v>370.27940781379192</v>
      </c>
      <c r="E11">
        <v>368.74921092637072</v>
      </c>
      <c r="F11">
        <v>372.13170831434331</v>
      </c>
      <c r="G11">
        <f t="shared" si="0"/>
        <v>370.29263693655855</v>
      </c>
      <c r="H11">
        <v>282.96150045762312</v>
      </c>
      <c r="I11">
        <v>283.49385622946261</v>
      </c>
      <c r="J11">
        <v>282.29399777539692</v>
      </c>
      <c r="K11">
        <v>285.44265868137683</v>
      </c>
      <c r="L11">
        <f t="shared" si="1"/>
        <v>283.54800328596485</v>
      </c>
      <c r="M11">
        <v>532362</v>
      </c>
      <c r="N11">
        <v>527007.5</v>
      </c>
      <c r="O11">
        <v>527888</v>
      </c>
      <c r="P11">
        <v>522901</v>
      </c>
      <c r="Q11">
        <f t="shared" si="2"/>
        <v>527539.625</v>
      </c>
      <c r="R11">
        <v>4.370879207349893E-115</v>
      </c>
      <c r="S11">
        <v>7.1313524133615706E-117</v>
      </c>
      <c r="T11">
        <v>1.9855669864989971E-117</v>
      </c>
      <c r="U11">
        <v>9.5936781944059197E-120</v>
      </c>
      <c r="V11">
        <f t="shared" si="3"/>
        <v>1.1155360845326106E-115</v>
      </c>
    </row>
    <row r="12" spans="1:22" x14ac:dyDescent="0.3">
      <c r="A12" s="7"/>
      <c r="B12" t="s">
        <v>14</v>
      </c>
      <c r="C12">
        <v>262.03458271803191</v>
      </c>
      <c r="D12">
        <v>258.54958229210882</v>
      </c>
      <c r="E12">
        <v>257.06296415701269</v>
      </c>
      <c r="F12">
        <v>260.94215603606938</v>
      </c>
      <c r="G12">
        <f t="shared" si="0"/>
        <v>259.64732130080574</v>
      </c>
      <c r="H12">
        <v>163.4919067150704</v>
      </c>
      <c r="I12">
        <v>163.7733988405671</v>
      </c>
      <c r="J12">
        <v>165.2055328322447</v>
      </c>
      <c r="K12">
        <v>170.80472603339109</v>
      </c>
      <c r="L12">
        <f t="shared" si="1"/>
        <v>165.8188911053183</v>
      </c>
      <c r="M12">
        <v>1093712.5</v>
      </c>
      <c r="N12">
        <v>1106565</v>
      </c>
      <c r="O12">
        <v>1208120.5</v>
      </c>
      <c r="P12">
        <v>1168706.5</v>
      </c>
      <c r="Q12">
        <f t="shared" si="2"/>
        <v>1144276.125</v>
      </c>
      <c r="R12">
        <v>6.6243886326237077E-5</v>
      </c>
      <c r="S12">
        <v>3.7275377598121849E-4</v>
      </c>
      <c r="T12">
        <v>0.76254790755182267</v>
      </c>
      <c r="U12">
        <v>8.4237615175124791E-2</v>
      </c>
      <c r="V12">
        <f t="shared" si="3"/>
        <v>0.21180613009731375</v>
      </c>
    </row>
    <row r="13" spans="1:22" x14ac:dyDescent="0.3">
      <c r="A13" s="7" t="s">
        <v>8</v>
      </c>
      <c r="B13" t="s">
        <v>10</v>
      </c>
      <c r="C13">
        <v>2.127346130860762</v>
      </c>
      <c r="D13">
        <v>2.1436703589457959</v>
      </c>
      <c r="E13">
        <v>2.1644082708857502</v>
      </c>
      <c r="F13">
        <v>2.16839564754464</v>
      </c>
      <c r="G13">
        <f t="shared" si="0"/>
        <v>2.1509551020592368</v>
      </c>
      <c r="H13">
        <v>0.96441690253954415</v>
      </c>
      <c r="I13">
        <v>1.0240168289339771</v>
      </c>
      <c r="J13">
        <v>1.088887578687652</v>
      </c>
      <c r="K13">
        <v>1.138147942345958</v>
      </c>
      <c r="L13">
        <f t="shared" si="1"/>
        <v>1.0538673131267828</v>
      </c>
      <c r="M13">
        <v>4543330.5</v>
      </c>
      <c r="N13">
        <v>4477045.5</v>
      </c>
      <c r="O13">
        <v>4475079</v>
      </c>
      <c r="P13">
        <v>4395822.5</v>
      </c>
      <c r="Q13">
        <f t="shared" si="2"/>
        <v>4472819.375</v>
      </c>
      <c r="R13">
        <v>1.6724819834958951E-6</v>
      </c>
      <c r="S13">
        <v>8.827792658665821E-12</v>
      </c>
      <c r="T13">
        <v>1.713429132680389E-16</v>
      </c>
      <c r="U13">
        <v>2.9200545855148869E-24</v>
      </c>
      <c r="V13">
        <f t="shared" si="3"/>
        <v>4.1812270286497416E-7</v>
      </c>
    </row>
    <row r="14" spans="1:22" x14ac:dyDescent="0.3">
      <c r="A14" s="7"/>
      <c r="B14" t="s">
        <v>11</v>
      </c>
      <c r="C14">
        <v>2.1032266873683989</v>
      </c>
      <c r="D14">
        <v>2.1003409604940551</v>
      </c>
      <c r="E14">
        <v>2.086906731601232</v>
      </c>
      <c r="F14">
        <v>2.097386392895773</v>
      </c>
      <c r="G14">
        <f t="shared" si="0"/>
        <v>2.096965193089865</v>
      </c>
      <c r="H14">
        <v>0.88090429390927094</v>
      </c>
      <c r="I14">
        <v>0.87898658220421311</v>
      </c>
      <c r="J14">
        <v>0.86725524766508832</v>
      </c>
      <c r="K14">
        <v>0.87515072865019217</v>
      </c>
      <c r="L14">
        <f t="shared" si="1"/>
        <v>0.87557421310719108</v>
      </c>
      <c r="M14">
        <v>4707305</v>
      </c>
      <c r="N14">
        <v>4714372.5</v>
      </c>
      <c r="O14">
        <v>4664690.5</v>
      </c>
      <c r="P14">
        <v>4648368.5</v>
      </c>
      <c r="Q14">
        <f t="shared" si="2"/>
        <v>4683684.125</v>
      </c>
      <c r="R14">
        <v>0.22901762929838171</v>
      </c>
      <c r="S14">
        <v>0.25247455699931981</v>
      </c>
      <c r="T14">
        <v>0.30936250124112608</v>
      </c>
      <c r="U14">
        <v>0.20598910043519619</v>
      </c>
      <c r="V14">
        <f t="shared" si="3"/>
        <v>0.24921094699350593</v>
      </c>
    </row>
    <row r="15" spans="1:22" x14ac:dyDescent="0.3">
      <c r="A15" s="7"/>
      <c r="B15" t="s">
        <v>12</v>
      </c>
      <c r="C15">
        <v>2.1205799471811368</v>
      </c>
      <c r="D15">
        <v>2.1137243531476519</v>
      </c>
      <c r="E15">
        <v>2.1236478402284762</v>
      </c>
      <c r="F15">
        <v>2.1437258942416708</v>
      </c>
      <c r="G15">
        <f t="shared" si="0"/>
        <v>2.1254195086997338</v>
      </c>
      <c r="H15">
        <v>0.91615857921723387</v>
      </c>
      <c r="I15">
        <v>0.93105086888075994</v>
      </c>
      <c r="J15">
        <v>0.92778811363074631</v>
      </c>
      <c r="K15">
        <v>0.94836916014206352</v>
      </c>
      <c r="L15">
        <f t="shared" si="1"/>
        <v>0.93084168046770088</v>
      </c>
      <c r="M15">
        <v>4704685</v>
      </c>
      <c r="N15">
        <v>5052402.5</v>
      </c>
      <c r="O15">
        <v>4763183</v>
      </c>
      <c r="P15">
        <v>4785724</v>
      </c>
      <c r="Q15">
        <f t="shared" si="2"/>
        <v>4826498.625</v>
      </c>
      <c r="R15">
        <v>4.8209946896476133E-2</v>
      </c>
      <c r="S15">
        <v>0.83676146355708581</v>
      </c>
      <c r="T15">
        <v>5.7895792080517823E-2</v>
      </c>
      <c r="U15">
        <v>6.2747060852623812E-2</v>
      </c>
      <c r="V15">
        <f t="shared" si="3"/>
        <v>0.25140356584667589</v>
      </c>
    </row>
    <row r="16" spans="1:22" x14ac:dyDescent="0.3">
      <c r="A16" s="7"/>
      <c r="B16" t="s">
        <v>13</v>
      </c>
      <c r="C16">
        <v>2.1171419277481109</v>
      </c>
      <c r="D16">
        <v>2.1249927155323509</v>
      </c>
      <c r="E16">
        <v>2.1273860388033752</v>
      </c>
      <c r="F16">
        <v>2.1584162327511862</v>
      </c>
      <c r="G16">
        <f t="shared" si="0"/>
        <v>2.131984228708756</v>
      </c>
      <c r="H16">
        <v>0.90059823147498319</v>
      </c>
      <c r="I16">
        <v>0.915178663042584</v>
      </c>
      <c r="J16">
        <v>0.93002427511161123</v>
      </c>
      <c r="K16">
        <v>0.9574657383699865</v>
      </c>
      <c r="L16">
        <f t="shared" si="1"/>
        <v>0.92581672699979123</v>
      </c>
      <c r="M16">
        <v>4726783.5</v>
      </c>
      <c r="N16">
        <v>4745085.5</v>
      </c>
      <c r="O16">
        <v>4809430</v>
      </c>
      <c r="P16">
        <v>4699989.5</v>
      </c>
      <c r="Q16">
        <f t="shared" si="2"/>
        <v>4745322.125</v>
      </c>
      <c r="R16">
        <v>8.0558190058037851E-3</v>
      </c>
      <c r="S16">
        <v>1.7465562675563371E-4</v>
      </c>
      <c r="T16">
        <v>7.3030663685488091E-6</v>
      </c>
      <c r="U16">
        <v>1.0737076571249309E-11</v>
      </c>
      <c r="V16">
        <f t="shared" si="3"/>
        <v>2.0594444274162609E-3</v>
      </c>
    </row>
    <row r="17" spans="1:22" x14ac:dyDescent="0.3">
      <c r="A17" s="7"/>
      <c r="B17" t="s">
        <v>14</v>
      </c>
      <c r="C17">
        <v>2.1196050983126971</v>
      </c>
      <c r="D17">
        <v>2.1261193552751938</v>
      </c>
      <c r="E17">
        <v>2.1230517413065191</v>
      </c>
      <c r="F17">
        <v>2.1377899474335331</v>
      </c>
      <c r="G17">
        <f t="shared" si="0"/>
        <v>2.1266415355819861</v>
      </c>
      <c r="H17">
        <v>0.91637146388937507</v>
      </c>
      <c r="I17">
        <v>0.93067162470045894</v>
      </c>
      <c r="J17">
        <v>0.94066796978623546</v>
      </c>
      <c r="K17">
        <v>0.96981906475508206</v>
      </c>
      <c r="L17">
        <f t="shared" si="1"/>
        <v>0.93938253078278777</v>
      </c>
      <c r="M17">
        <v>4765974.5</v>
      </c>
      <c r="N17">
        <v>4856077.5</v>
      </c>
      <c r="O17">
        <v>5012904</v>
      </c>
      <c r="P17">
        <v>5050027.5</v>
      </c>
      <c r="Q17">
        <f t="shared" si="2"/>
        <v>4921245.875</v>
      </c>
      <c r="R17">
        <v>2.8335130116072908E-2</v>
      </c>
      <c r="S17">
        <v>1.308936538603587E-2</v>
      </c>
      <c r="T17">
        <v>2.7876867802365299E-2</v>
      </c>
      <c r="U17">
        <v>3.4673022298142742E-3</v>
      </c>
      <c r="V17">
        <f t="shared" si="3"/>
        <v>1.8192166383572086E-2</v>
      </c>
    </row>
    <row r="18" spans="1:22" x14ac:dyDescent="0.3">
      <c r="A18" s="7" t="s">
        <v>9</v>
      </c>
      <c r="B18" t="s">
        <v>10</v>
      </c>
      <c r="C18">
        <v>2.0296258546821182</v>
      </c>
      <c r="D18">
        <v>2.041872556327093</v>
      </c>
      <c r="E18">
        <v>2.0519850666637391</v>
      </c>
      <c r="F18">
        <v>2.0777306291810591</v>
      </c>
      <c r="G18">
        <f t="shared" si="0"/>
        <v>2.0503035267135026</v>
      </c>
      <c r="H18">
        <v>0.93830235548632679</v>
      </c>
      <c r="I18">
        <v>0.99471947379320691</v>
      </c>
      <c r="J18">
        <v>1.0479143777374329</v>
      </c>
      <c r="K18">
        <v>1.1114221826031809</v>
      </c>
      <c r="L18">
        <f t="shared" si="1"/>
        <v>1.0230895974050369</v>
      </c>
      <c r="M18">
        <v>4590584.5</v>
      </c>
      <c r="N18">
        <v>4564128.5</v>
      </c>
      <c r="O18">
        <v>4406991.5</v>
      </c>
      <c r="P18">
        <v>4420682.5</v>
      </c>
      <c r="Q18">
        <f t="shared" si="2"/>
        <v>4495596.75</v>
      </c>
      <c r="R18">
        <v>8.2481411213193622E-6</v>
      </c>
      <c r="S18">
        <v>1.7745317796207769E-9</v>
      </c>
      <c r="T18">
        <v>2.4887816685082089E-18</v>
      </c>
      <c r="U18">
        <v>1.7857099375277039E-22</v>
      </c>
      <c r="V18">
        <f t="shared" si="3"/>
        <v>2.0624789132753681E-6</v>
      </c>
    </row>
    <row r="19" spans="1:22" x14ac:dyDescent="0.3">
      <c r="A19" s="7"/>
      <c r="B19" t="s">
        <v>11</v>
      </c>
      <c r="C19">
        <v>1.9920298001507111</v>
      </c>
      <c r="D19">
        <v>2.0001218671336161</v>
      </c>
      <c r="E19">
        <v>1.9823542344791689</v>
      </c>
      <c r="F19">
        <v>1.99106489100216</v>
      </c>
      <c r="G19">
        <f t="shared" si="0"/>
        <v>1.9913926981914141</v>
      </c>
      <c r="H19">
        <v>0.84850832262803255</v>
      </c>
      <c r="I19">
        <v>0.85487435055062044</v>
      </c>
      <c r="J19">
        <v>0.84117681124090082</v>
      </c>
      <c r="K19">
        <v>0.84886701736676584</v>
      </c>
      <c r="L19">
        <f t="shared" si="1"/>
        <v>0.84835662544657997</v>
      </c>
      <c r="M19">
        <v>4706863.5</v>
      </c>
      <c r="N19">
        <v>4707896</v>
      </c>
      <c r="O19">
        <v>4714432.5</v>
      </c>
      <c r="P19">
        <v>4730801.5</v>
      </c>
      <c r="Q19">
        <f t="shared" si="2"/>
        <v>4714998.375</v>
      </c>
      <c r="R19">
        <v>0.31641502373760499</v>
      </c>
      <c r="S19">
        <v>0.28598595185932191</v>
      </c>
      <c r="T19">
        <v>0.3355315177551208</v>
      </c>
      <c r="U19">
        <v>0.38379305887669402</v>
      </c>
      <c r="V19">
        <f t="shared" si="3"/>
        <v>0.33043138805718542</v>
      </c>
    </row>
    <row r="20" spans="1:22" x14ac:dyDescent="0.3">
      <c r="A20" s="7"/>
      <c r="B20" t="s">
        <v>12</v>
      </c>
      <c r="C20">
        <v>2.0179969608395649</v>
      </c>
      <c r="D20">
        <v>2.013182465874642</v>
      </c>
      <c r="E20">
        <v>2.0109244338796262</v>
      </c>
      <c r="F20">
        <v>2.0328125580928909</v>
      </c>
      <c r="G20">
        <f t="shared" si="0"/>
        <v>2.0187291046716811</v>
      </c>
      <c r="H20">
        <v>0.88845504395156538</v>
      </c>
      <c r="I20">
        <v>0.88821620741319063</v>
      </c>
      <c r="J20">
        <v>0.89409055038121754</v>
      </c>
      <c r="K20">
        <v>0.923748449545021</v>
      </c>
      <c r="L20">
        <f t="shared" si="1"/>
        <v>0.89862756282274858</v>
      </c>
      <c r="M20">
        <v>4687577.5</v>
      </c>
      <c r="N20">
        <v>4696188</v>
      </c>
      <c r="O20">
        <v>4735521</v>
      </c>
      <c r="P20">
        <v>4685272</v>
      </c>
      <c r="Q20">
        <f t="shared" si="2"/>
        <v>4701139.625</v>
      </c>
      <c r="R20">
        <v>3.1379497041591271E-2</v>
      </c>
      <c r="S20">
        <v>2.94634604516134E-2</v>
      </c>
      <c r="T20">
        <v>3.1972996408877373E-2</v>
      </c>
      <c r="U20">
        <v>3.0834561624316888E-3</v>
      </c>
      <c r="V20">
        <f t="shared" si="3"/>
        <v>2.3974852516128436E-2</v>
      </c>
    </row>
    <row r="21" spans="1:22" x14ac:dyDescent="0.3">
      <c r="A21" s="7"/>
      <c r="B21" t="s">
        <v>13</v>
      </c>
      <c r="C21">
        <v>2.0195449954640199</v>
      </c>
      <c r="D21">
        <v>2.0224132745653658</v>
      </c>
      <c r="E21">
        <v>2.019623183212921</v>
      </c>
      <c r="F21">
        <v>2.0328212639074779</v>
      </c>
      <c r="G21">
        <f t="shared" si="0"/>
        <v>2.0236006792874459</v>
      </c>
      <c r="H21">
        <v>0.87928566598526436</v>
      </c>
      <c r="I21">
        <v>0.89175764046844386</v>
      </c>
      <c r="J21">
        <v>0.9023610879114653</v>
      </c>
      <c r="K21">
        <v>0.92717625811229065</v>
      </c>
      <c r="L21">
        <f t="shared" si="1"/>
        <v>0.90014516311936599</v>
      </c>
      <c r="M21">
        <v>4748517.5</v>
      </c>
      <c r="N21">
        <v>4790717.5</v>
      </c>
      <c r="O21">
        <v>4737550.5</v>
      </c>
      <c r="P21">
        <v>4775423.5</v>
      </c>
      <c r="Q21">
        <f t="shared" si="2"/>
        <v>4763052.25</v>
      </c>
      <c r="R21">
        <v>8.7377721730467137E-3</v>
      </c>
      <c r="S21">
        <v>6.0861513760031717E-4</v>
      </c>
      <c r="T21">
        <v>5.5985174593573181E-7</v>
      </c>
      <c r="U21">
        <v>5.8863859012997343E-9</v>
      </c>
      <c r="V21">
        <f t="shared" si="3"/>
        <v>2.3367382621947166E-3</v>
      </c>
    </row>
    <row r="22" spans="1:22" x14ac:dyDescent="0.3">
      <c r="A22" s="7"/>
      <c r="B22" t="s">
        <v>14</v>
      </c>
      <c r="C22">
        <v>2.0166211192050829</v>
      </c>
      <c r="D22">
        <v>2.0121765415525039</v>
      </c>
      <c r="E22">
        <v>2.010099260840561</v>
      </c>
      <c r="F22">
        <v>2.028658702803706</v>
      </c>
      <c r="G22">
        <f t="shared" si="0"/>
        <v>2.0168889061004633</v>
      </c>
      <c r="H22">
        <v>0.8887317894556318</v>
      </c>
      <c r="I22">
        <v>0.89442429318331218</v>
      </c>
      <c r="J22">
        <v>0.90288783371661241</v>
      </c>
      <c r="K22">
        <v>0.93419133687850942</v>
      </c>
      <c r="L22">
        <f t="shared" si="1"/>
        <v>0.90505881330851645</v>
      </c>
      <c r="M22">
        <v>4766748.5</v>
      </c>
      <c r="N22">
        <v>4824425.5</v>
      </c>
      <c r="O22">
        <v>4865398.5</v>
      </c>
      <c r="P22">
        <v>4799654.5</v>
      </c>
      <c r="Q22">
        <f t="shared" si="2"/>
        <v>4814056.75</v>
      </c>
      <c r="R22">
        <v>1.5945859489176331E-2</v>
      </c>
      <c r="S22">
        <v>2.3459138080939058E-3</v>
      </c>
      <c r="T22">
        <v>3.6696410148510299E-4</v>
      </c>
      <c r="U22">
        <v>2.8349859216306321E-8</v>
      </c>
      <c r="V22">
        <f t="shared" si="3"/>
        <v>4.6646914371536391E-3</v>
      </c>
    </row>
  </sheetData>
  <mergeCells count="8">
    <mergeCell ref="M1:Q1"/>
    <mergeCell ref="R1:V1"/>
    <mergeCell ref="A3:A7"/>
    <mergeCell ref="A8:A12"/>
    <mergeCell ref="A13:A17"/>
    <mergeCell ref="A18:A22"/>
    <mergeCell ref="C1:G1"/>
    <mergeCell ref="H1:L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90D5-6FE6-4252-9886-DCE4AAF467B6}">
  <dimension ref="A1:G91"/>
  <sheetViews>
    <sheetView topLeftCell="A64" workbookViewId="0">
      <selection sqref="A1:G91"/>
    </sheetView>
  </sheetViews>
  <sheetFormatPr baseColWidth="10" defaultRowHeight="14.4" x14ac:dyDescent="0.3"/>
  <sheetData>
    <row r="1" spans="1:7" x14ac:dyDescent="0.3">
      <c r="C1" s="8" t="s">
        <v>2</v>
      </c>
      <c r="D1" s="8"/>
      <c r="E1" s="8"/>
      <c r="F1" s="8"/>
      <c r="G1" s="8"/>
    </row>
    <row r="2" spans="1:7" x14ac:dyDescent="0.3">
      <c r="A2" s="1" t="s">
        <v>0</v>
      </c>
      <c r="B2" s="1" t="s">
        <v>1</v>
      </c>
      <c r="C2" s="1">
        <v>5</v>
      </c>
      <c r="D2" s="1">
        <v>10</v>
      </c>
      <c r="E2" s="1">
        <v>15</v>
      </c>
      <c r="F2" s="1">
        <v>20</v>
      </c>
      <c r="G2" s="1" t="s">
        <v>15</v>
      </c>
    </row>
    <row r="3" spans="1:7" x14ac:dyDescent="0.3">
      <c r="A3" s="13" t="s">
        <v>6</v>
      </c>
      <c r="B3" t="s">
        <v>10</v>
      </c>
      <c r="C3" s="6">
        <v>376.61307225206139</v>
      </c>
      <c r="D3" s="6">
        <v>374.58779637042608</v>
      </c>
      <c r="E3" s="6">
        <v>366.74660217350822</v>
      </c>
      <c r="F3" s="6">
        <v>363.53689400407029</v>
      </c>
      <c r="G3" s="6">
        <f>AVERAGE(C3:F3)</f>
        <v>370.37109120001651</v>
      </c>
    </row>
    <row r="4" spans="1:7" x14ac:dyDescent="0.3">
      <c r="A4" s="7"/>
      <c r="B4" t="s">
        <v>11</v>
      </c>
      <c r="C4" s="6">
        <v>447.01410942156627</v>
      </c>
      <c r="D4" s="6">
        <v>449.85499410205819</v>
      </c>
      <c r="E4" s="6">
        <v>448.59551519436201</v>
      </c>
      <c r="F4" s="6">
        <v>446.12950032795891</v>
      </c>
      <c r="G4" s="6">
        <f t="shared" ref="G4:G22" si="0">AVERAGE(C4:F4)</f>
        <v>447.89852976148632</v>
      </c>
    </row>
    <row r="5" spans="1:7" x14ac:dyDescent="0.3">
      <c r="A5" s="7"/>
      <c r="B5" t="s">
        <v>12</v>
      </c>
      <c r="C5" s="6">
        <v>379.45532359404149</v>
      </c>
      <c r="D5" s="6">
        <v>380.69682600071269</v>
      </c>
      <c r="E5" s="6">
        <v>385.20050927517519</v>
      </c>
      <c r="F5" s="6">
        <v>376.95364393561272</v>
      </c>
      <c r="G5" s="6">
        <f t="shared" si="0"/>
        <v>380.57657570138554</v>
      </c>
    </row>
    <row r="6" spans="1:7" x14ac:dyDescent="0.3">
      <c r="A6" s="7"/>
      <c r="B6" t="s">
        <v>13</v>
      </c>
      <c r="C6" s="6">
        <v>491.75836197103843</v>
      </c>
      <c r="D6" s="6">
        <v>493.19450437375741</v>
      </c>
      <c r="E6" s="6">
        <v>492.15955873694969</v>
      </c>
      <c r="F6" s="6">
        <v>554.22889594399658</v>
      </c>
      <c r="G6" s="6">
        <f t="shared" si="0"/>
        <v>507.83533025643555</v>
      </c>
    </row>
    <row r="7" spans="1:7" x14ac:dyDescent="0.3">
      <c r="A7" s="7"/>
      <c r="B7" t="s">
        <v>14</v>
      </c>
      <c r="C7" s="6">
        <v>391.32490688486098</v>
      </c>
      <c r="D7" s="6">
        <v>387.59322597434738</v>
      </c>
      <c r="E7" s="6">
        <v>409.67876226969628</v>
      </c>
      <c r="F7" s="6">
        <v>383.68049141740551</v>
      </c>
      <c r="G7" s="6">
        <f t="shared" si="0"/>
        <v>393.06934663657751</v>
      </c>
    </row>
    <row r="8" spans="1:7" x14ac:dyDescent="0.3">
      <c r="A8" s="7" t="s">
        <v>7</v>
      </c>
      <c r="B8" t="s">
        <v>10</v>
      </c>
      <c r="C8" s="6">
        <v>261.88153746586602</v>
      </c>
      <c r="D8" s="6">
        <v>257.9926981165595</v>
      </c>
      <c r="E8" s="6">
        <v>256.05635607712532</v>
      </c>
      <c r="F8" s="6">
        <v>257.73930671799252</v>
      </c>
      <c r="G8" s="6">
        <f t="shared" si="0"/>
        <v>258.41747459438585</v>
      </c>
    </row>
    <row r="9" spans="1:7" x14ac:dyDescent="0.3">
      <c r="A9" s="7"/>
      <c r="B9" t="s">
        <v>11</v>
      </c>
      <c r="C9" s="6">
        <v>300.07920568405422</v>
      </c>
      <c r="D9" s="6">
        <v>299.16803827306398</v>
      </c>
      <c r="E9" s="6">
        <v>297.68338525273867</v>
      </c>
      <c r="F9" s="6">
        <v>301.80886365477562</v>
      </c>
      <c r="G9" s="6">
        <f t="shared" si="0"/>
        <v>299.68487321615811</v>
      </c>
    </row>
    <row r="10" spans="1:7" x14ac:dyDescent="0.3">
      <c r="A10" s="7"/>
      <c r="B10" t="s">
        <v>12</v>
      </c>
      <c r="C10" s="6">
        <v>274.98937052821128</v>
      </c>
      <c r="D10" s="6">
        <v>265.00080705519258</v>
      </c>
      <c r="E10" s="6">
        <v>258.79211138119638</v>
      </c>
      <c r="F10" s="6">
        <v>264.67766184634189</v>
      </c>
      <c r="G10" s="6">
        <f t="shared" si="0"/>
        <v>265.86498770273556</v>
      </c>
    </row>
    <row r="11" spans="1:7" x14ac:dyDescent="0.3">
      <c r="A11" s="7"/>
      <c r="B11" t="s">
        <v>13</v>
      </c>
      <c r="C11" s="6">
        <v>370.01022069172831</v>
      </c>
      <c r="D11" s="6">
        <v>370.27940781379192</v>
      </c>
      <c r="E11" s="6">
        <v>368.74921092637072</v>
      </c>
      <c r="F11" s="6">
        <v>372.13170831434331</v>
      </c>
      <c r="G11" s="6">
        <f t="shared" si="0"/>
        <v>370.29263693655855</v>
      </c>
    </row>
    <row r="12" spans="1:7" x14ac:dyDescent="0.3">
      <c r="A12" s="7"/>
      <c r="B12" t="s">
        <v>14</v>
      </c>
      <c r="C12" s="6">
        <v>262.03458271803191</v>
      </c>
      <c r="D12" s="6">
        <v>258.54958229210882</v>
      </c>
      <c r="E12" s="6">
        <v>257.06296415701269</v>
      </c>
      <c r="F12" s="6">
        <v>260.94215603606938</v>
      </c>
      <c r="G12" s="6">
        <f t="shared" si="0"/>
        <v>259.64732130080574</v>
      </c>
    </row>
    <row r="13" spans="1:7" x14ac:dyDescent="0.3">
      <c r="A13" s="7" t="s">
        <v>8</v>
      </c>
      <c r="B13" t="s">
        <v>10</v>
      </c>
      <c r="C13" s="6">
        <v>2.127346130860762</v>
      </c>
      <c r="D13" s="6">
        <v>2.1436703589457959</v>
      </c>
      <c r="E13" s="6">
        <v>2.1644082708857502</v>
      </c>
      <c r="F13" s="6">
        <v>2.16839564754464</v>
      </c>
      <c r="G13" s="6">
        <f t="shared" si="0"/>
        <v>2.1509551020592368</v>
      </c>
    </row>
    <row r="14" spans="1:7" x14ac:dyDescent="0.3">
      <c r="A14" s="7"/>
      <c r="B14" t="s">
        <v>11</v>
      </c>
      <c r="C14" s="6">
        <v>2.1032266873683989</v>
      </c>
      <c r="D14" s="6">
        <v>2.1003409604940551</v>
      </c>
      <c r="E14" s="6">
        <v>2.086906731601232</v>
      </c>
      <c r="F14" s="6">
        <v>2.097386392895773</v>
      </c>
      <c r="G14" s="6">
        <f t="shared" si="0"/>
        <v>2.096965193089865</v>
      </c>
    </row>
    <row r="15" spans="1:7" x14ac:dyDescent="0.3">
      <c r="A15" s="7"/>
      <c r="B15" t="s">
        <v>12</v>
      </c>
      <c r="C15" s="6">
        <v>2.1205799471811368</v>
      </c>
      <c r="D15" s="6">
        <v>2.1137243531476519</v>
      </c>
      <c r="E15" s="6">
        <v>2.1236478402284762</v>
      </c>
      <c r="F15" s="6">
        <v>2.1437258942416708</v>
      </c>
      <c r="G15" s="6">
        <f t="shared" si="0"/>
        <v>2.1254195086997338</v>
      </c>
    </row>
    <row r="16" spans="1:7" x14ac:dyDescent="0.3">
      <c r="A16" s="7"/>
      <c r="B16" t="s">
        <v>13</v>
      </c>
      <c r="C16" s="6">
        <v>2.1171419277481109</v>
      </c>
      <c r="D16" s="6">
        <v>2.1249927155323509</v>
      </c>
      <c r="E16" s="6">
        <v>2.1273860388033752</v>
      </c>
      <c r="F16" s="6">
        <v>2.1584162327511862</v>
      </c>
      <c r="G16" s="6">
        <f t="shared" si="0"/>
        <v>2.131984228708756</v>
      </c>
    </row>
    <row r="17" spans="1:7" x14ac:dyDescent="0.3">
      <c r="A17" s="7"/>
      <c r="B17" t="s">
        <v>14</v>
      </c>
      <c r="C17" s="6">
        <v>2.1196050983126971</v>
      </c>
      <c r="D17" s="6">
        <v>2.1261193552751938</v>
      </c>
      <c r="E17" s="6">
        <v>2.1230517413065191</v>
      </c>
      <c r="F17" s="6">
        <v>2.1377899474335331</v>
      </c>
      <c r="G17" s="6">
        <f t="shared" si="0"/>
        <v>2.1266415355819861</v>
      </c>
    </row>
    <row r="18" spans="1:7" x14ac:dyDescent="0.3">
      <c r="A18" s="7" t="s">
        <v>9</v>
      </c>
      <c r="B18" t="s">
        <v>10</v>
      </c>
      <c r="C18" s="6">
        <v>2.0296258546821182</v>
      </c>
      <c r="D18" s="6">
        <v>2.041872556327093</v>
      </c>
      <c r="E18" s="6">
        <v>2.0519850666637391</v>
      </c>
      <c r="F18" s="6">
        <v>2.0777306291810591</v>
      </c>
      <c r="G18" s="6">
        <f t="shared" si="0"/>
        <v>2.0503035267135026</v>
      </c>
    </row>
    <row r="19" spans="1:7" x14ac:dyDescent="0.3">
      <c r="A19" s="7"/>
      <c r="B19" t="s">
        <v>11</v>
      </c>
      <c r="C19" s="6">
        <v>1.9920298001507111</v>
      </c>
      <c r="D19" s="6">
        <v>2.0001218671336161</v>
      </c>
      <c r="E19" s="6">
        <v>1.9823542344791689</v>
      </c>
      <c r="F19" s="6">
        <v>1.99106489100216</v>
      </c>
      <c r="G19" s="6">
        <f t="shared" si="0"/>
        <v>1.9913926981914141</v>
      </c>
    </row>
    <row r="20" spans="1:7" x14ac:dyDescent="0.3">
      <c r="A20" s="7"/>
      <c r="B20" t="s">
        <v>12</v>
      </c>
      <c r="C20" s="6">
        <v>2.0179969608395649</v>
      </c>
      <c r="D20" s="6">
        <v>2.013182465874642</v>
      </c>
      <c r="E20" s="6">
        <v>2.0109244338796262</v>
      </c>
      <c r="F20" s="6">
        <v>2.0328125580928909</v>
      </c>
      <c r="G20" s="6">
        <f t="shared" si="0"/>
        <v>2.0187291046716811</v>
      </c>
    </row>
    <row r="21" spans="1:7" x14ac:dyDescent="0.3">
      <c r="A21" s="7"/>
      <c r="B21" t="s">
        <v>13</v>
      </c>
      <c r="C21" s="6">
        <v>2.0195449954640199</v>
      </c>
      <c r="D21" s="6">
        <v>2.0224132745653658</v>
      </c>
      <c r="E21" s="6">
        <v>2.019623183212921</v>
      </c>
      <c r="F21" s="6">
        <v>2.0328212639074779</v>
      </c>
      <c r="G21" s="6">
        <f t="shared" si="0"/>
        <v>2.0236006792874459</v>
      </c>
    </row>
    <row r="22" spans="1:7" x14ac:dyDescent="0.3">
      <c r="A22" s="7"/>
      <c r="B22" t="s">
        <v>14</v>
      </c>
      <c r="C22" s="6">
        <v>2.0166211192050829</v>
      </c>
      <c r="D22" s="6">
        <v>2.0121765415525039</v>
      </c>
      <c r="E22" s="6">
        <v>2.010099260840561</v>
      </c>
      <c r="F22" s="6">
        <v>2.028658702803706</v>
      </c>
      <c r="G22" s="6">
        <f t="shared" si="0"/>
        <v>2.0168889061004633</v>
      </c>
    </row>
    <row r="24" spans="1:7" x14ac:dyDescent="0.3">
      <c r="C24" s="8" t="s">
        <v>3</v>
      </c>
      <c r="D24" s="8"/>
      <c r="E24" s="8"/>
      <c r="F24" s="8"/>
      <c r="G24" s="9"/>
    </row>
    <row r="25" spans="1:7" x14ac:dyDescent="0.3">
      <c r="A25" s="1" t="s">
        <v>0</v>
      </c>
      <c r="B25" s="1" t="s">
        <v>1</v>
      </c>
      <c r="C25" s="1">
        <v>5</v>
      </c>
      <c r="D25" s="1">
        <v>10</v>
      </c>
      <c r="E25" s="1">
        <v>15</v>
      </c>
      <c r="F25" s="1">
        <v>20</v>
      </c>
      <c r="G25" s="1" t="s">
        <v>15</v>
      </c>
    </row>
    <row r="26" spans="1:7" x14ac:dyDescent="0.3">
      <c r="A26" s="13" t="s">
        <v>6</v>
      </c>
      <c r="B26" t="s">
        <v>10</v>
      </c>
      <c r="C26" s="6">
        <v>284.34886121743853</v>
      </c>
      <c r="D26" s="6">
        <v>282.42824941455228</v>
      </c>
      <c r="E26" s="6">
        <v>277.74793532805433</v>
      </c>
      <c r="F26" s="6">
        <v>275.6143420668854</v>
      </c>
      <c r="G26" s="6">
        <f>AVERAGE(C26:F26)</f>
        <v>280.03484700673266</v>
      </c>
    </row>
    <row r="27" spans="1:7" x14ac:dyDescent="0.3">
      <c r="A27" s="7"/>
      <c r="B27" t="s">
        <v>11</v>
      </c>
      <c r="C27" s="6">
        <v>332.72155688622752</v>
      </c>
      <c r="D27" s="6">
        <v>334.10279441117763</v>
      </c>
      <c r="E27" s="6">
        <v>333.15219560878239</v>
      </c>
      <c r="F27" s="6">
        <v>330.47679640718559</v>
      </c>
      <c r="G27" s="6">
        <f t="shared" ref="G27:G45" si="1">AVERAGE(C27:F27)</f>
        <v>332.61333582834334</v>
      </c>
    </row>
    <row r="28" spans="1:7" x14ac:dyDescent="0.3">
      <c r="A28" s="7"/>
      <c r="B28" t="s">
        <v>12</v>
      </c>
      <c r="C28" s="6">
        <v>286.19608267641928</v>
      </c>
      <c r="D28" s="6">
        <v>287.90141362195101</v>
      </c>
      <c r="E28" s="6">
        <v>282.96314412499731</v>
      </c>
      <c r="F28" s="6">
        <v>282.78193531406919</v>
      </c>
      <c r="G28" s="6">
        <f t="shared" si="1"/>
        <v>284.96064393435921</v>
      </c>
    </row>
    <row r="29" spans="1:7" x14ac:dyDescent="0.3">
      <c r="A29" s="7"/>
      <c r="B29" t="s">
        <v>13</v>
      </c>
      <c r="C29" s="6">
        <v>367.70555683881378</v>
      </c>
      <c r="D29" s="6">
        <v>368.95455735594771</v>
      </c>
      <c r="E29" s="6">
        <v>368.51017006172788</v>
      </c>
      <c r="F29" s="6">
        <v>433.91454590818358</v>
      </c>
      <c r="G29" s="6">
        <f t="shared" si="1"/>
        <v>384.77120754116822</v>
      </c>
    </row>
    <row r="30" spans="1:7" x14ac:dyDescent="0.3">
      <c r="A30" s="7"/>
      <c r="B30" t="s">
        <v>14</v>
      </c>
      <c r="C30" s="6">
        <v>308.99550356657869</v>
      </c>
      <c r="D30" s="6">
        <v>304.86736403747062</v>
      </c>
      <c r="E30" s="6">
        <v>324.85804399523619</v>
      </c>
      <c r="F30" s="6">
        <v>303.58789862033262</v>
      </c>
      <c r="G30" s="6">
        <f t="shared" si="1"/>
        <v>310.57720255490455</v>
      </c>
    </row>
    <row r="31" spans="1:7" x14ac:dyDescent="0.3">
      <c r="A31" s="7" t="s">
        <v>7</v>
      </c>
      <c r="B31" t="s">
        <v>10</v>
      </c>
      <c r="C31" s="6">
        <v>159.8829664583109</v>
      </c>
      <c r="D31" s="6">
        <v>159.25786389140151</v>
      </c>
      <c r="E31" s="6">
        <v>156.5525896964177</v>
      </c>
      <c r="F31" s="6">
        <v>159.4016291635599</v>
      </c>
      <c r="G31" s="6">
        <f t="shared" si="1"/>
        <v>158.77376230242248</v>
      </c>
    </row>
    <row r="32" spans="1:7" x14ac:dyDescent="0.3">
      <c r="A32" s="7"/>
      <c r="B32" t="s">
        <v>11</v>
      </c>
      <c r="C32" s="6">
        <v>205.63273137697519</v>
      </c>
      <c r="D32" s="6">
        <v>205.4528216704289</v>
      </c>
      <c r="E32" s="6">
        <v>203.39209932279911</v>
      </c>
      <c r="F32" s="6">
        <v>210.34514672686231</v>
      </c>
      <c r="G32" s="6">
        <f t="shared" si="1"/>
        <v>206.20569977426641</v>
      </c>
    </row>
    <row r="33" spans="1:7" x14ac:dyDescent="0.3">
      <c r="A33" s="7"/>
      <c r="B33" t="s">
        <v>12</v>
      </c>
      <c r="C33" s="6">
        <v>180.95461593767061</v>
      </c>
      <c r="D33" s="6">
        <v>172.1416383311452</v>
      </c>
      <c r="E33" s="6">
        <v>165.20557042445361</v>
      </c>
      <c r="F33" s="6">
        <v>172.33830505704631</v>
      </c>
      <c r="G33" s="6">
        <f t="shared" si="1"/>
        <v>172.66003243757893</v>
      </c>
    </row>
    <row r="34" spans="1:7" x14ac:dyDescent="0.3">
      <c r="A34" s="7"/>
      <c r="B34" t="s">
        <v>13</v>
      </c>
      <c r="C34" s="6">
        <v>282.96150045762312</v>
      </c>
      <c r="D34" s="6">
        <v>283.49385622946261</v>
      </c>
      <c r="E34" s="6">
        <v>282.29399777539692</v>
      </c>
      <c r="F34" s="6">
        <v>285.44265868137683</v>
      </c>
      <c r="G34" s="6">
        <f t="shared" si="1"/>
        <v>283.54800328596485</v>
      </c>
    </row>
    <row r="35" spans="1:7" x14ac:dyDescent="0.3">
      <c r="A35" s="7"/>
      <c r="B35" t="s">
        <v>14</v>
      </c>
      <c r="C35" s="6">
        <v>163.4919067150704</v>
      </c>
      <c r="D35" s="6">
        <v>163.7733988405671</v>
      </c>
      <c r="E35" s="6">
        <v>165.2055328322447</v>
      </c>
      <c r="F35" s="6">
        <v>170.80472603339109</v>
      </c>
      <c r="G35" s="6">
        <f t="shared" si="1"/>
        <v>165.8188911053183</v>
      </c>
    </row>
    <row r="36" spans="1:7" x14ac:dyDescent="0.3">
      <c r="A36" s="7" t="s">
        <v>8</v>
      </c>
      <c r="B36" t="s">
        <v>10</v>
      </c>
      <c r="C36" s="6">
        <v>0.96441690253954415</v>
      </c>
      <c r="D36" s="6">
        <v>1.0240168289339771</v>
      </c>
      <c r="E36" s="6">
        <v>1.088887578687652</v>
      </c>
      <c r="F36" s="6">
        <v>1.138147942345958</v>
      </c>
      <c r="G36" s="6">
        <f t="shared" si="1"/>
        <v>1.0538673131267828</v>
      </c>
    </row>
    <row r="37" spans="1:7" x14ac:dyDescent="0.3">
      <c r="A37" s="7"/>
      <c r="B37" t="s">
        <v>11</v>
      </c>
      <c r="C37" s="6">
        <v>0.88090429390927094</v>
      </c>
      <c r="D37" s="6">
        <v>0.87898658220421311</v>
      </c>
      <c r="E37" s="6">
        <v>0.86725524766508832</v>
      </c>
      <c r="F37" s="6">
        <v>0.87515072865019217</v>
      </c>
      <c r="G37" s="6">
        <f t="shared" si="1"/>
        <v>0.87557421310719108</v>
      </c>
    </row>
    <row r="38" spans="1:7" x14ac:dyDescent="0.3">
      <c r="A38" s="7"/>
      <c r="B38" t="s">
        <v>12</v>
      </c>
      <c r="C38" s="6">
        <v>0.91615857921723387</v>
      </c>
      <c r="D38" s="6">
        <v>0.93105086888075994</v>
      </c>
      <c r="E38" s="6">
        <v>0.92778811363074631</v>
      </c>
      <c r="F38" s="6">
        <v>0.94836916014206352</v>
      </c>
      <c r="G38" s="6">
        <f t="shared" si="1"/>
        <v>0.93084168046770088</v>
      </c>
    </row>
    <row r="39" spans="1:7" x14ac:dyDescent="0.3">
      <c r="A39" s="7"/>
      <c r="B39" t="s">
        <v>13</v>
      </c>
      <c r="C39" s="6">
        <v>0.90059823147498319</v>
      </c>
      <c r="D39" s="6">
        <v>0.915178663042584</v>
      </c>
      <c r="E39" s="6">
        <v>0.93002427511161123</v>
      </c>
      <c r="F39" s="6">
        <v>0.9574657383699865</v>
      </c>
      <c r="G39" s="6">
        <f t="shared" si="1"/>
        <v>0.92581672699979123</v>
      </c>
    </row>
    <row r="40" spans="1:7" x14ac:dyDescent="0.3">
      <c r="A40" s="7"/>
      <c r="B40" t="s">
        <v>14</v>
      </c>
      <c r="C40" s="6">
        <v>0.91637146388937507</v>
      </c>
      <c r="D40" s="6">
        <v>0.93067162470045894</v>
      </c>
      <c r="E40" s="6">
        <v>0.94066796978623546</v>
      </c>
      <c r="F40" s="6">
        <v>0.96981906475508206</v>
      </c>
      <c r="G40" s="6">
        <f t="shared" si="1"/>
        <v>0.93938253078278777</v>
      </c>
    </row>
    <row r="41" spans="1:7" x14ac:dyDescent="0.3">
      <c r="A41" s="7" t="s">
        <v>9</v>
      </c>
      <c r="B41" t="s">
        <v>10</v>
      </c>
      <c r="C41" s="6">
        <v>0.93830235548632679</v>
      </c>
      <c r="D41" s="6">
        <v>0.99471947379320691</v>
      </c>
      <c r="E41" s="6">
        <v>1.0479143777374329</v>
      </c>
      <c r="F41" s="6">
        <v>1.1114221826031809</v>
      </c>
      <c r="G41" s="6">
        <f t="shared" si="1"/>
        <v>1.0230895974050369</v>
      </c>
    </row>
    <row r="42" spans="1:7" x14ac:dyDescent="0.3">
      <c r="A42" s="7"/>
      <c r="B42" t="s">
        <v>11</v>
      </c>
      <c r="C42" s="6">
        <v>0.84850832262803255</v>
      </c>
      <c r="D42" s="6">
        <v>0.85487435055062044</v>
      </c>
      <c r="E42" s="6">
        <v>0.84117681124090082</v>
      </c>
      <c r="F42" s="6">
        <v>0.84886701736676584</v>
      </c>
      <c r="G42" s="6">
        <f t="shared" si="1"/>
        <v>0.84835662544657997</v>
      </c>
    </row>
    <row r="43" spans="1:7" x14ac:dyDescent="0.3">
      <c r="A43" s="7"/>
      <c r="B43" t="s">
        <v>12</v>
      </c>
      <c r="C43" s="6">
        <v>0.88845504395156538</v>
      </c>
      <c r="D43" s="6">
        <v>0.88821620741319063</v>
      </c>
      <c r="E43" s="6">
        <v>0.89409055038121754</v>
      </c>
      <c r="F43" s="6">
        <v>0.923748449545021</v>
      </c>
      <c r="G43" s="6">
        <f t="shared" si="1"/>
        <v>0.89862756282274858</v>
      </c>
    </row>
    <row r="44" spans="1:7" x14ac:dyDescent="0.3">
      <c r="A44" s="7"/>
      <c r="B44" t="s">
        <v>13</v>
      </c>
      <c r="C44" s="6">
        <v>0.87928566598526436</v>
      </c>
      <c r="D44" s="6">
        <v>0.89175764046844386</v>
      </c>
      <c r="E44" s="6">
        <v>0.9023610879114653</v>
      </c>
      <c r="F44" s="6">
        <v>0.92717625811229065</v>
      </c>
      <c r="G44" s="6">
        <f t="shared" si="1"/>
        <v>0.90014516311936599</v>
      </c>
    </row>
    <row r="45" spans="1:7" x14ac:dyDescent="0.3">
      <c r="A45" s="7"/>
      <c r="B45" t="s">
        <v>14</v>
      </c>
      <c r="C45" s="6">
        <v>0.8887317894556318</v>
      </c>
      <c r="D45" s="6">
        <v>0.89442429318331218</v>
      </c>
      <c r="E45" s="6">
        <v>0.90288783371661241</v>
      </c>
      <c r="F45" s="6">
        <v>0.93419133687850942</v>
      </c>
      <c r="G45" s="6">
        <f t="shared" si="1"/>
        <v>0.90505881330851645</v>
      </c>
    </row>
    <row r="47" spans="1:7" x14ac:dyDescent="0.3">
      <c r="C47" s="10" t="s">
        <v>4</v>
      </c>
      <c r="D47" s="11"/>
      <c r="E47" s="11"/>
      <c r="F47" s="11"/>
      <c r="G47" s="12"/>
    </row>
    <row r="48" spans="1:7" x14ac:dyDescent="0.3">
      <c r="A48" s="1" t="s">
        <v>0</v>
      </c>
      <c r="B48" s="1" t="s">
        <v>1</v>
      </c>
      <c r="C48" s="1">
        <v>5</v>
      </c>
      <c r="D48" s="1">
        <v>10</v>
      </c>
      <c r="E48" s="1">
        <v>15</v>
      </c>
      <c r="F48" s="1">
        <v>20</v>
      </c>
      <c r="G48" s="1" t="s">
        <v>15</v>
      </c>
    </row>
    <row r="49" spans="1:7" x14ac:dyDescent="0.3">
      <c r="A49" s="13" t="s">
        <v>6</v>
      </c>
      <c r="B49" t="s">
        <v>10</v>
      </c>
      <c r="C49" s="6">
        <v>3995126</v>
      </c>
      <c r="D49" s="6">
        <v>3940903</v>
      </c>
      <c r="E49" s="6">
        <v>3951423</v>
      </c>
      <c r="F49" s="6">
        <v>3963029.5</v>
      </c>
      <c r="G49" s="6">
        <f>AVERAGE(C49:F49)</f>
        <v>3962620.375</v>
      </c>
    </row>
    <row r="50" spans="1:7" x14ac:dyDescent="0.3">
      <c r="A50" s="7"/>
      <c r="B50" t="s">
        <v>11</v>
      </c>
      <c r="C50" s="6">
        <v>3597955.5</v>
      </c>
      <c r="D50" s="6">
        <v>3595862</v>
      </c>
      <c r="E50" s="6">
        <v>3600427</v>
      </c>
      <c r="F50" s="6">
        <v>3497413</v>
      </c>
      <c r="G50" s="6">
        <f t="shared" ref="G50:G68" si="2">AVERAGE(C50:F50)</f>
        <v>3572914.375</v>
      </c>
    </row>
    <row r="51" spans="1:7" x14ac:dyDescent="0.3">
      <c r="A51" s="7"/>
      <c r="B51" t="s">
        <v>12</v>
      </c>
      <c r="C51" s="6">
        <v>3987326.5</v>
      </c>
      <c r="D51" s="6">
        <v>3901035.5</v>
      </c>
      <c r="E51" s="6">
        <v>3578735</v>
      </c>
      <c r="F51" s="6">
        <v>3826664</v>
      </c>
      <c r="G51" s="6">
        <f t="shared" si="2"/>
        <v>3823440.25</v>
      </c>
    </row>
    <row r="52" spans="1:7" x14ac:dyDescent="0.3">
      <c r="A52" s="7"/>
      <c r="B52" t="s">
        <v>13</v>
      </c>
      <c r="C52" s="6">
        <v>2567092</v>
      </c>
      <c r="D52" s="6">
        <v>2553563</v>
      </c>
      <c r="E52" s="6">
        <v>2536686</v>
      </c>
      <c r="F52" s="6">
        <v>1699713.5</v>
      </c>
      <c r="G52" s="6">
        <f t="shared" si="2"/>
        <v>2339263.625</v>
      </c>
    </row>
    <row r="53" spans="1:7" x14ac:dyDescent="0.3">
      <c r="A53" s="7"/>
      <c r="B53" t="s">
        <v>14</v>
      </c>
      <c r="C53" s="6">
        <v>3440535</v>
      </c>
      <c r="D53" s="6">
        <v>3452881</v>
      </c>
      <c r="E53" s="6">
        <v>3145983</v>
      </c>
      <c r="F53" s="6">
        <v>3411282.5</v>
      </c>
      <c r="G53" s="6">
        <f t="shared" si="2"/>
        <v>3362670.375</v>
      </c>
    </row>
    <row r="54" spans="1:7" x14ac:dyDescent="0.3">
      <c r="A54" s="7" t="s">
        <v>7</v>
      </c>
      <c r="B54" t="s">
        <v>10</v>
      </c>
      <c r="C54" s="6">
        <v>925211.5</v>
      </c>
      <c r="D54" s="6">
        <v>929634</v>
      </c>
      <c r="E54" s="6">
        <v>985295.5</v>
      </c>
      <c r="F54" s="6">
        <v>1042185.5</v>
      </c>
      <c r="G54" s="6">
        <f t="shared" si="2"/>
        <v>970581.625</v>
      </c>
    </row>
    <row r="55" spans="1:7" x14ac:dyDescent="0.3">
      <c r="A55" s="7"/>
      <c r="B55" t="s">
        <v>11</v>
      </c>
      <c r="C55" s="6">
        <v>703906</v>
      </c>
      <c r="D55" s="6">
        <v>701674</v>
      </c>
      <c r="E55" s="6">
        <v>709170</v>
      </c>
      <c r="F55" s="6">
        <v>660598</v>
      </c>
      <c r="G55" s="6">
        <f t="shared" si="2"/>
        <v>693837</v>
      </c>
    </row>
    <row r="56" spans="1:7" x14ac:dyDescent="0.3">
      <c r="A56" s="7"/>
      <c r="B56" t="s">
        <v>12</v>
      </c>
      <c r="C56" s="6">
        <v>1184036</v>
      </c>
      <c r="D56" s="6">
        <v>1155402.5</v>
      </c>
      <c r="E56" s="6">
        <v>1201433.5</v>
      </c>
      <c r="F56" s="6">
        <v>1207094</v>
      </c>
      <c r="G56" s="6">
        <f t="shared" si="2"/>
        <v>1186991.5</v>
      </c>
    </row>
    <row r="57" spans="1:7" x14ac:dyDescent="0.3">
      <c r="A57" s="7"/>
      <c r="B57" t="s">
        <v>13</v>
      </c>
      <c r="C57" s="6">
        <v>532362</v>
      </c>
      <c r="D57" s="6">
        <v>527007.5</v>
      </c>
      <c r="E57" s="6">
        <v>527888</v>
      </c>
      <c r="F57" s="6">
        <v>522901</v>
      </c>
      <c r="G57" s="6">
        <f t="shared" si="2"/>
        <v>527539.625</v>
      </c>
    </row>
    <row r="58" spans="1:7" x14ac:dyDescent="0.3">
      <c r="A58" s="7"/>
      <c r="B58" t="s">
        <v>14</v>
      </c>
      <c r="C58" s="6">
        <v>1093712.5</v>
      </c>
      <c r="D58" s="6">
        <v>1106565</v>
      </c>
      <c r="E58" s="6">
        <v>1208120.5</v>
      </c>
      <c r="F58" s="6">
        <v>1168706.5</v>
      </c>
      <c r="G58" s="6">
        <f t="shared" si="2"/>
        <v>1144276.125</v>
      </c>
    </row>
    <row r="59" spans="1:7" x14ac:dyDescent="0.3">
      <c r="A59" s="7" t="s">
        <v>8</v>
      </c>
      <c r="B59" t="s">
        <v>10</v>
      </c>
      <c r="C59" s="6">
        <v>4543330.5</v>
      </c>
      <c r="D59" s="6">
        <v>4477045.5</v>
      </c>
      <c r="E59" s="6">
        <v>4475079</v>
      </c>
      <c r="F59" s="6">
        <v>4395822.5</v>
      </c>
      <c r="G59" s="6">
        <f t="shared" si="2"/>
        <v>4472819.375</v>
      </c>
    </row>
    <row r="60" spans="1:7" x14ac:dyDescent="0.3">
      <c r="A60" s="7"/>
      <c r="B60" t="s">
        <v>11</v>
      </c>
      <c r="C60" s="6">
        <v>4707305</v>
      </c>
      <c r="D60" s="6">
        <v>4714372.5</v>
      </c>
      <c r="E60" s="6">
        <v>4664690.5</v>
      </c>
      <c r="F60" s="6">
        <v>4648368.5</v>
      </c>
      <c r="G60" s="6">
        <f t="shared" si="2"/>
        <v>4683684.125</v>
      </c>
    </row>
    <row r="61" spans="1:7" x14ac:dyDescent="0.3">
      <c r="A61" s="7"/>
      <c r="B61" t="s">
        <v>12</v>
      </c>
      <c r="C61" s="6">
        <v>4704685</v>
      </c>
      <c r="D61" s="6">
        <v>5052402.5</v>
      </c>
      <c r="E61" s="6">
        <v>4763183</v>
      </c>
      <c r="F61" s="6">
        <v>4785724</v>
      </c>
      <c r="G61" s="6">
        <f t="shared" si="2"/>
        <v>4826498.625</v>
      </c>
    </row>
    <row r="62" spans="1:7" x14ac:dyDescent="0.3">
      <c r="A62" s="7"/>
      <c r="B62" t="s">
        <v>13</v>
      </c>
      <c r="C62" s="6">
        <v>4726783.5</v>
      </c>
      <c r="D62" s="6">
        <v>4745085.5</v>
      </c>
      <c r="E62" s="6">
        <v>4809430</v>
      </c>
      <c r="F62" s="6">
        <v>4699989.5</v>
      </c>
      <c r="G62" s="6">
        <f t="shared" si="2"/>
        <v>4745322.125</v>
      </c>
    </row>
    <row r="63" spans="1:7" x14ac:dyDescent="0.3">
      <c r="A63" s="7"/>
      <c r="B63" t="s">
        <v>14</v>
      </c>
      <c r="C63" s="6">
        <v>4765974.5</v>
      </c>
      <c r="D63" s="6">
        <v>4856077.5</v>
      </c>
      <c r="E63" s="6">
        <v>5012904</v>
      </c>
      <c r="F63" s="6">
        <v>5050027.5</v>
      </c>
      <c r="G63" s="6">
        <f t="shared" si="2"/>
        <v>4921245.875</v>
      </c>
    </row>
    <row r="64" spans="1:7" x14ac:dyDescent="0.3">
      <c r="A64" s="7" t="s">
        <v>9</v>
      </c>
      <c r="B64" t="s">
        <v>10</v>
      </c>
      <c r="C64" s="6">
        <v>4590584.5</v>
      </c>
      <c r="D64" s="6">
        <v>4564128.5</v>
      </c>
      <c r="E64" s="6">
        <v>4406991.5</v>
      </c>
      <c r="F64" s="6">
        <v>4420682.5</v>
      </c>
      <c r="G64" s="6">
        <f t="shared" si="2"/>
        <v>4495596.75</v>
      </c>
    </row>
    <row r="65" spans="1:7" x14ac:dyDescent="0.3">
      <c r="A65" s="7"/>
      <c r="B65" t="s">
        <v>11</v>
      </c>
      <c r="C65" s="6">
        <v>4706863.5</v>
      </c>
      <c r="D65" s="6">
        <v>4707896</v>
      </c>
      <c r="E65" s="6">
        <v>4714432.5</v>
      </c>
      <c r="F65" s="6">
        <v>4730801.5</v>
      </c>
      <c r="G65" s="6">
        <f t="shared" si="2"/>
        <v>4714998.375</v>
      </c>
    </row>
    <row r="66" spans="1:7" x14ac:dyDescent="0.3">
      <c r="A66" s="7"/>
      <c r="B66" t="s">
        <v>12</v>
      </c>
      <c r="C66" s="6">
        <v>4687577.5</v>
      </c>
      <c r="D66" s="6">
        <v>4696188</v>
      </c>
      <c r="E66" s="6">
        <v>4735521</v>
      </c>
      <c r="F66" s="6">
        <v>4685272</v>
      </c>
      <c r="G66" s="6">
        <f t="shared" si="2"/>
        <v>4701139.625</v>
      </c>
    </row>
    <row r="67" spans="1:7" x14ac:dyDescent="0.3">
      <c r="A67" s="7"/>
      <c r="B67" t="s">
        <v>13</v>
      </c>
      <c r="C67" s="6">
        <v>4748517.5</v>
      </c>
      <c r="D67" s="6">
        <v>4790717.5</v>
      </c>
      <c r="E67" s="6">
        <v>4737550.5</v>
      </c>
      <c r="F67" s="6">
        <v>4775423.5</v>
      </c>
      <c r="G67" s="6">
        <f t="shared" si="2"/>
        <v>4763052.25</v>
      </c>
    </row>
    <row r="68" spans="1:7" x14ac:dyDescent="0.3">
      <c r="A68" s="7"/>
      <c r="B68" t="s">
        <v>14</v>
      </c>
      <c r="C68" s="6">
        <v>4766748.5</v>
      </c>
      <c r="D68" s="6">
        <v>4824425.5</v>
      </c>
      <c r="E68" s="6">
        <v>4865398.5</v>
      </c>
      <c r="F68" s="6">
        <v>4799654.5</v>
      </c>
      <c r="G68" s="6">
        <f t="shared" si="2"/>
        <v>4814056.75</v>
      </c>
    </row>
    <row r="69" spans="1:7" x14ac:dyDescent="0.3">
      <c r="C69" s="6"/>
      <c r="D69" s="6"/>
      <c r="E69" s="6"/>
      <c r="F69" s="6"/>
      <c r="G69" s="6"/>
    </row>
    <row r="70" spans="1:7" x14ac:dyDescent="0.3">
      <c r="C70" s="10" t="s">
        <v>5</v>
      </c>
      <c r="D70" s="11"/>
      <c r="E70" s="11"/>
      <c r="F70" s="11"/>
      <c r="G70" s="11"/>
    </row>
    <row r="71" spans="1:7" x14ac:dyDescent="0.3">
      <c r="A71" s="1" t="s">
        <v>0</v>
      </c>
      <c r="B71" s="1" t="s">
        <v>1</v>
      </c>
      <c r="C71" s="1">
        <v>5</v>
      </c>
      <c r="D71" s="1">
        <v>10</v>
      </c>
      <c r="E71" s="1">
        <v>15</v>
      </c>
      <c r="F71" s="1">
        <v>20</v>
      </c>
      <c r="G71" s="1" t="s">
        <v>15</v>
      </c>
    </row>
    <row r="72" spans="1:7" x14ac:dyDescent="0.3">
      <c r="A72" s="13" t="s">
        <v>6</v>
      </c>
      <c r="B72" t="s">
        <v>10</v>
      </c>
      <c r="C72" s="6">
        <v>0.97951090391221018</v>
      </c>
      <c r="D72" s="6">
        <v>0.4421432533129146</v>
      </c>
      <c r="E72" s="6">
        <v>0.5146610873846964</v>
      </c>
      <c r="F72" s="6">
        <v>0.62226784743879726</v>
      </c>
      <c r="G72" s="6">
        <f>AVERAGE(C72:F72)</f>
        <v>0.63964577301215453</v>
      </c>
    </row>
    <row r="73" spans="1:7" x14ac:dyDescent="0.3">
      <c r="A73" s="7"/>
      <c r="B73" t="s">
        <v>11</v>
      </c>
      <c r="C73" s="6">
        <v>8.0607041937003574E-8</v>
      </c>
      <c r="D73" s="6">
        <v>5.9644650894994365E-8</v>
      </c>
      <c r="E73" s="6">
        <v>8.4498764519576573E-8</v>
      </c>
      <c r="F73" s="6">
        <v>7.273100586160281E-8</v>
      </c>
      <c r="G73" s="6">
        <f t="shared" ref="G73:G91" si="3">AVERAGE(C73:F73)</f>
        <v>7.4370365803294334E-8</v>
      </c>
    </row>
    <row r="74" spans="1:7" x14ac:dyDescent="0.3">
      <c r="A74" s="7"/>
      <c r="B74" t="s">
        <v>12</v>
      </c>
      <c r="C74" s="6">
        <v>0.89455618498151968</v>
      </c>
      <c r="D74" s="6">
        <v>0.18857895908968461</v>
      </c>
      <c r="E74" s="6">
        <v>8.6234802215078918E-9</v>
      </c>
      <c r="F74" s="6">
        <v>1.8262592184038581E-2</v>
      </c>
      <c r="G74" s="6">
        <f t="shared" si="3"/>
        <v>0.27534943621968072</v>
      </c>
    </row>
    <row r="75" spans="1:7" x14ac:dyDescent="0.3">
      <c r="A75" s="7"/>
      <c r="B75" t="s">
        <v>13</v>
      </c>
      <c r="C75" s="6">
        <v>1.8507374061702799E-85</v>
      </c>
      <c r="D75" s="6">
        <v>4.7726226502993633E-87</v>
      </c>
      <c r="E75" s="6">
        <v>3.1835733419362182E-89</v>
      </c>
      <c r="F75" s="6">
        <v>1.1836555352502219E-217</v>
      </c>
      <c r="G75" s="6">
        <f t="shared" si="3"/>
        <v>4.7469549750186682E-86</v>
      </c>
    </row>
    <row r="76" spans="1:7" x14ac:dyDescent="0.3">
      <c r="A76" s="7"/>
      <c r="B76" t="s">
        <v>14</v>
      </c>
      <c r="C76" s="6">
        <v>2.45920419308477E-14</v>
      </c>
      <c r="D76" s="6">
        <v>8.9965373972762356E-14</v>
      </c>
      <c r="E76" s="6">
        <v>1.5642137583432319E-31</v>
      </c>
      <c r="F76" s="6">
        <v>8.3362052455029991E-16</v>
      </c>
      <c r="G76" s="6">
        <f t="shared" si="3"/>
        <v>2.8847759107040092E-14</v>
      </c>
    </row>
    <row r="77" spans="1:7" x14ac:dyDescent="0.3">
      <c r="A77" s="7" t="s">
        <v>7</v>
      </c>
      <c r="B77" t="s">
        <v>10</v>
      </c>
      <c r="C77" s="6">
        <v>5.6114462025268297E-22</v>
      </c>
      <c r="D77" s="6">
        <v>2.3505761145853801E-21</v>
      </c>
      <c r="E77" s="6">
        <v>9.2299162979591661E-15</v>
      </c>
      <c r="F77" s="6">
        <v>2.7374910537295648E-9</v>
      </c>
      <c r="G77" s="6">
        <f t="shared" si="3"/>
        <v>6.8437507091219361E-10</v>
      </c>
    </row>
    <row r="78" spans="1:7" x14ac:dyDescent="0.3">
      <c r="A78" s="7"/>
      <c r="B78" t="s">
        <v>11</v>
      </c>
      <c r="C78" s="6">
        <v>3.3147860215296789E-65</v>
      </c>
      <c r="D78" s="6">
        <v>3.8576426091153291E-66</v>
      </c>
      <c r="E78" s="6">
        <v>6.6792273169898083E-64</v>
      </c>
      <c r="F78" s="6">
        <v>2.1697044976599289E-71</v>
      </c>
      <c r="G78" s="6">
        <f t="shared" si="3"/>
        <v>1.7623206405510947E-64</v>
      </c>
    </row>
    <row r="79" spans="1:7" x14ac:dyDescent="0.3">
      <c r="A79" s="7"/>
      <c r="B79" t="s">
        <v>12</v>
      </c>
      <c r="C79" s="6">
        <v>0.35440263518594972</v>
      </c>
      <c r="D79" s="6">
        <v>5.9249144631655877E-2</v>
      </c>
      <c r="E79" s="6">
        <v>0.62477177432495412</v>
      </c>
      <c r="F79" s="6">
        <v>0.68205032013657185</v>
      </c>
      <c r="G79" s="6">
        <f t="shared" si="3"/>
        <v>0.43011846856978286</v>
      </c>
    </row>
    <row r="80" spans="1:7" x14ac:dyDescent="0.3">
      <c r="A80" s="7"/>
      <c r="B80" t="s">
        <v>13</v>
      </c>
      <c r="C80" s="6">
        <v>4.370879207349893E-115</v>
      </c>
      <c r="D80" s="6">
        <v>7.1313524133615706E-117</v>
      </c>
      <c r="E80" s="6">
        <v>1.9855669864989971E-117</v>
      </c>
      <c r="F80" s="6">
        <v>9.5936781944059197E-120</v>
      </c>
      <c r="G80" s="6">
        <f t="shared" si="3"/>
        <v>1.1155360845326106E-115</v>
      </c>
    </row>
    <row r="81" spans="1:7" x14ac:dyDescent="0.3">
      <c r="A81" s="7"/>
      <c r="B81" t="s">
        <v>14</v>
      </c>
      <c r="C81" s="6">
        <v>6.6243886326237077E-5</v>
      </c>
      <c r="D81" s="6">
        <v>3.7275377598121849E-4</v>
      </c>
      <c r="E81" s="6">
        <v>0.76254790755182267</v>
      </c>
      <c r="F81" s="6">
        <v>8.4237615175124791E-2</v>
      </c>
      <c r="G81" s="6">
        <f t="shared" si="3"/>
        <v>0.21180613009731375</v>
      </c>
    </row>
    <row r="82" spans="1:7" x14ac:dyDescent="0.3">
      <c r="A82" s="7" t="s">
        <v>8</v>
      </c>
      <c r="B82" t="s">
        <v>10</v>
      </c>
      <c r="C82" s="6">
        <v>1.6724819834958951E-6</v>
      </c>
      <c r="D82" s="6">
        <v>8.827792658665821E-12</v>
      </c>
      <c r="E82" s="6">
        <v>1.713429132680389E-16</v>
      </c>
      <c r="F82" s="6">
        <v>2.9200545855148869E-24</v>
      </c>
      <c r="G82" s="6">
        <f t="shared" si="3"/>
        <v>4.1812270286497416E-7</v>
      </c>
    </row>
    <row r="83" spans="1:7" x14ac:dyDescent="0.3">
      <c r="A83" s="7"/>
      <c r="B83" t="s">
        <v>11</v>
      </c>
      <c r="C83" s="6">
        <v>0.22901762929838171</v>
      </c>
      <c r="D83" s="6">
        <v>0.25247455699931981</v>
      </c>
      <c r="E83" s="6">
        <v>0.30936250124112608</v>
      </c>
      <c r="F83" s="6">
        <v>0.20598910043519619</v>
      </c>
      <c r="G83" s="6">
        <f t="shared" si="3"/>
        <v>0.24921094699350593</v>
      </c>
    </row>
    <row r="84" spans="1:7" x14ac:dyDescent="0.3">
      <c r="A84" s="7"/>
      <c r="B84" t="s">
        <v>12</v>
      </c>
      <c r="C84" s="6">
        <v>4.8209946896476133E-2</v>
      </c>
      <c r="D84" s="6">
        <v>0.83676146355708581</v>
      </c>
      <c r="E84" s="6">
        <v>5.7895792080517823E-2</v>
      </c>
      <c r="F84" s="6">
        <v>6.2747060852623812E-2</v>
      </c>
      <c r="G84" s="6">
        <f t="shared" si="3"/>
        <v>0.25140356584667589</v>
      </c>
    </row>
    <row r="85" spans="1:7" x14ac:dyDescent="0.3">
      <c r="A85" s="7"/>
      <c r="B85" t="s">
        <v>13</v>
      </c>
      <c r="C85" s="6">
        <v>8.0558190058037851E-3</v>
      </c>
      <c r="D85" s="6">
        <v>1.7465562675563371E-4</v>
      </c>
      <c r="E85" s="6">
        <v>7.3030663685488091E-6</v>
      </c>
      <c r="F85" s="6">
        <v>1.0737076571249309E-11</v>
      </c>
      <c r="G85" s="6">
        <f t="shared" si="3"/>
        <v>2.0594444274162609E-3</v>
      </c>
    </row>
    <row r="86" spans="1:7" x14ac:dyDescent="0.3">
      <c r="A86" s="7"/>
      <c r="B86" t="s">
        <v>14</v>
      </c>
      <c r="C86" s="6">
        <v>2.8335130116072908E-2</v>
      </c>
      <c r="D86" s="6">
        <v>1.308936538603587E-2</v>
      </c>
      <c r="E86" s="6">
        <v>2.7876867802365299E-2</v>
      </c>
      <c r="F86" s="6">
        <v>3.4673022298142742E-3</v>
      </c>
      <c r="G86" s="6">
        <f t="shared" si="3"/>
        <v>1.8192166383572086E-2</v>
      </c>
    </row>
    <row r="87" spans="1:7" x14ac:dyDescent="0.3">
      <c r="A87" s="7" t="s">
        <v>9</v>
      </c>
      <c r="B87" t="s">
        <v>10</v>
      </c>
      <c r="C87" s="6">
        <v>8.2481411213193622E-6</v>
      </c>
      <c r="D87" s="6">
        <v>1.7745317796207769E-9</v>
      </c>
      <c r="E87" s="6">
        <v>2.4887816685082089E-18</v>
      </c>
      <c r="F87" s="6">
        <v>1.7857099375277039E-22</v>
      </c>
      <c r="G87" s="6">
        <f t="shared" si="3"/>
        <v>2.0624789132753681E-6</v>
      </c>
    </row>
    <row r="88" spans="1:7" x14ac:dyDescent="0.3">
      <c r="A88" s="7"/>
      <c r="B88" t="s">
        <v>11</v>
      </c>
      <c r="C88" s="6">
        <v>0.31641502373760499</v>
      </c>
      <c r="D88" s="6">
        <v>0.28598595185932191</v>
      </c>
      <c r="E88" s="6">
        <v>0.3355315177551208</v>
      </c>
      <c r="F88" s="6">
        <v>0.38379305887669402</v>
      </c>
      <c r="G88" s="6">
        <f t="shared" si="3"/>
        <v>0.33043138805718542</v>
      </c>
    </row>
    <row r="89" spans="1:7" x14ac:dyDescent="0.3">
      <c r="A89" s="7"/>
      <c r="B89" t="s">
        <v>12</v>
      </c>
      <c r="C89" s="6">
        <v>3.1379497041591271E-2</v>
      </c>
      <c r="D89" s="6">
        <v>2.94634604516134E-2</v>
      </c>
      <c r="E89" s="6">
        <v>3.1972996408877373E-2</v>
      </c>
      <c r="F89" s="6">
        <v>3.0834561624316888E-3</v>
      </c>
      <c r="G89" s="6">
        <f t="shared" si="3"/>
        <v>2.3974852516128436E-2</v>
      </c>
    </row>
    <row r="90" spans="1:7" x14ac:dyDescent="0.3">
      <c r="A90" s="7"/>
      <c r="B90" t="s">
        <v>13</v>
      </c>
      <c r="C90" s="6">
        <v>8.7377721730467137E-3</v>
      </c>
      <c r="D90" s="6">
        <v>6.0861513760031717E-4</v>
      </c>
      <c r="E90" s="6">
        <v>5.5985174593573181E-7</v>
      </c>
      <c r="F90" s="6">
        <v>5.8863859012997343E-9</v>
      </c>
      <c r="G90" s="6">
        <f t="shared" si="3"/>
        <v>2.3367382621947166E-3</v>
      </c>
    </row>
    <row r="91" spans="1:7" x14ac:dyDescent="0.3">
      <c r="A91" s="7"/>
      <c r="B91" t="s">
        <v>14</v>
      </c>
      <c r="C91" s="6">
        <v>1.5945859489176331E-2</v>
      </c>
      <c r="D91" s="6">
        <v>2.3459138080939058E-3</v>
      </c>
      <c r="E91" s="6">
        <v>3.6696410148510299E-4</v>
      </c>
      <c r="F91" s="6">
        <v>2.8349859216306321E-8</v>
      </c>
      <c r="G91" s="6">
        <f t="shared" si="3"/>
        <v>4.6646914371536391E-3</v>
      </c>
    </row>
  </sheetData>
  <mergeCells count="20">
    <mergeCell ref="C1:G1"/>
    <mergeCell ref="C24:G24"/>
    <mergeCell ref="C47:G47"/>
    <mergeCell ref="C70:G70"/>
    <mergeCell ref="A3:A7"/>
    <mergeCell ref="A8:A12"/>
    <mergeCell ref="A49:A53"/>
    <mergeCell ref="A54:A58"/>
    <mergeCell ref="A59:A63"/>
    <mergeCell ref="A64:A68"/>
    <mergeCell ref="A72:A76"/>
    <mergeCell ref="A77:A81"/>
    <mergeCell ref="A82:A86"/>
    <mergeCell ref="A87:A91"/>
    <mergeCell ref="A13:A17"/>
    <mergeCell ref="A18:A22"/>
    <mergeCell ref="A26:A30"/>
    <mergeCell ref="A31:A35"/>
    <mergeCell ref="A36:A40"/>
    <mergeCell ref="A41:A4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7AA2-32C0-4328-9E50-8B88A41661B8}">
  <dimension ref="A1:F22"/>
  <sheetViews>
    <sheetView tabSelected="1" workbookViewId="0">
      <selection activeCell="N5" sqref="N5"/>
    </sheetView>
  </sheetViews>
  <sheetFormatPr baseColWidth="10" defaultRowHeight="14.4" x14ac:dyDescent="0.3"/>
  <cols>
    <col min="3" max="4" width="11.6640625" bestFit="1" customWidth="1"/>
    <col min="5" max="5" width="13.44140625" bestFit="1" customWidth="1"/>
    <col min="6" max="6" width="11.6640625" bestFit="1" customWidth="1"/>
  </cols>
  <sheetData>
    <row r="1" spans="1:6" x14ac:dyDescent="0.3">
      <c r="C1" s="2"/>
      <c r="D1" s="5"/>
      <c r="E1" s="4"/>
      <c r="F1" s="3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16</v>
      </c>
      <c r="F2" s="1" t="s">
        <v>17</v>
      </c>
    </row>
    <row r="3" spans="1:6" x14ac:dyDescent="0.3">
      <c r="A3" s="13" t="s">
        <v>6</v>
      </c>
      <c r="B3" t="s">
        <v>10</v>
      </c>
      <c r="C3" s="6">
        <v>370.37109120001651</v>
      </c>
      <c r="D3" s="6">
        <v>280.03484700673266</v>
      </c>
      <c r="E3" s="6">
        <v>3962620.375</v>
      </c>
      <c r="F3" s="6">
        <v>0.63964577301215453</v>
      </c>
    </row>
    <row r="4" spans="1:6" x14ac:dyDescent="0.3">
      <c r="A4" s="7"/>
      <c r="B4" t="s">
        <v>11</v>
      </c>
      <c r="C4" s="6">
        <v>447.89852976148632</v>
      </c>
      <c r="D4" s="6">
        <v>332.61333582834334</v>
      </c>
      <c r="E4" s="6">
        <v>3572914.375</v>
      </c>
      <c r="F4" s="6">
        <v>7.4370365803294334E-8</v>
      </c>
    </row>
    <row r="5" spans="1:6" x14ac:dyDescent="0.3">
      <c r="A5" s="7"/>
      <c r="B5" t="s">
        <v>12</v>
      </c>
      <c r="C5" s="6">
        <v>380.57657570138554</v>
      </c>
      <c r="D5" s="6">
        <v>284.96064393435921</v>
      </c>
      <c r="E5" s="6">
        <v>3823440.25</v>
      </c>
      <c r="F5" s="6">
        <v>0.27534943621968072</v>
      </c>
    </row>
    <row r="6" spans="1:6" x14ac:dyDescent="0.3">
      <c r="A6" s="7"/>
      <c r="B6" t="s">
        <v>13</v>
      </c>
      <c r="C6" s="6">
        <v>507.83533025643555</v>
      </c>
      <c r="D6" s="6">
        <v>384.77120754116822</v>
      </c>
      <c r="E6" s="6">
        <v>2339263.625</v>
      </c>
      <c r="F6" s="6">
        <v>4.7469549750186682E-86</v>
      </c>
    </row>
    <row r="7" spans="1:6" x14ac:dyDescent="0.3">
      <c r="A7" s="7"/>
      <c r="B7" t="s">
        <v>14</v>
      </c>
      <c r="C7" s="6">
        <v>393.06934663657751</v>
      </c>
      <c r="D7" s="6">
        <v>310.57720255490455</v>
      </c>
      <c r="E7" s="6">
        <v>3362670.375</v>
      </c>
      <c r="F7" s="6">
        <v>2.8847759107040092E-14</v>
      </c>
    </row>
    <row r="8" spans="1:6" x14ac:dyDescent="0.3">
      <c r="A8" s="7" t="s">
        <v>7</v>
      </c>
      <c r="B8" t="s">
        <v>10</v>
      </c>
      <c r="C8" s="6">
        <v>258.41747459438585</v>
      </c>
      <c r="D8" s="6">
        <v>158.77376230242248</v>
      </c>
      <c r="E8" s="6">
        <v>970581.625</v>
      </c>
      <c r="F8" s="6">
        <v>6.8437507091219361E-10</v>
      </c>
    </row>
    <row r="9" spans="1:6" x14ac:dyDescent="0.3">
      <c r="A9" s="7"/>
      <c r="B9" t="s">
        <v>11</v>
      </c>
      <c r="C9" s="6">
        <v>299.68487321615811</v>
      </c>
      <c r="D9" s="6">
        <v>206.20569977426641</v>
      </c>
      <c r="E9" s="6">
        <v>693837</v>
      </c>
      <c r="F9" s="6">
        <v>1.7623206405510947E-64</v>
      </c>
    </row>
    <row r="10" spans="1:6" x14ac:dyDescent="0.3">
      <c r="A10" s="7"/>
      <c r="B10" t="s">
        <v>12</v>
      </c>
      <c r="C10" s="6">
        <v>265.86498770273556</v>
      </c>
      <c r="D10" s="6">
        <v>172.66003243757893</v>
      </c>
      <c r="E10" s="6">
        <v>1186991.5</v>
      </c>
      <c r="F10" s="6">
        <v>0.43011846856978286</v>
      </c>
    </row>
    <row r="11" spans="1:6" x14ac:dyDescent="0.3">
      <c r="A11" s="7"/>
      <c r="B11" t="s">
        <v>13</v>
      </c>
      <c r="C11" s="6">
        <v>370.29263693655855</v>
      </c>
      <c r="D11" s="6">
        <v>283.54800328596485</v>
      </c>
      <c r="E11" s="6">
        <v>527539.625</v>
      </c>
      <c r="F11" s="6">
        <v>1.1155360845326106E-115</v>
      </c>
    </row>
    <row r="12" spans="1:6" x14ac:dyDescent="0.3">
      <c r="A12" s="7"/>
      <c r="B12" t="s">
        <v>14</v>
      </c>
      <c r="C12" s="6">
        <v>259.64732130080574</v>
      </c>
      <c r="D12" s="6">
        <v>165.8188911053183</v>
      </c>
      <c r="E12" s="6">
        <v>1144276.125</v>
      </c>
      <c r="F12" s="6">
        <v>0.21180613009731375</v>
      </c>
    </row>
    <row r="13" spans="1:6" x14ac:dyDescent="0.3">
      <c r="A13" s="7" t="s">
        <v>8</v>
      </c>
      <c r="B13" t="s">
        <v>10</v>
      </c>
      <c r="C13" s="6">
        <v>2.1509551020592368</v>
      </c>
      <c r="D13" s="6">
        <v>1.0538673131267828</v>
      </c>
      <c r="E13" s="6">
        <v>4472819.375</v>
      </c>
      <c r="F13" s="6">
        <v>4.1812270286497416E-7</v>
      </c>
    </row>
    <row r="14" spans="1:6" x14ac:dyDescent="0.3">
      <c r="A14" s="7"/>
      <c r="B14" t="s">
        <v>11</v>
      </c>
      <c r="C14" s="6">
        <v>2.096965193089865</v>
      </c>
      <c r="D14" s="6">
        <v>0.87557421310719108</v>
      </c>
      <c r="E14" s="6">
        <v>4683684.125</v>
      </c>
      <c r="F14" s="6">
        <v>0.24921094699350593</v>
      </c>
    </row>
    <row r="15" spans="1:6" x14ac:dyDescent="0.3">
      <c r="A15" s="7"/>
      <c r="B15" t="s">
        <v>12</v>
      </c>
      <c r="C15" s="6">
        <v>2.1254195086997338</v>
      </c>
      <c r="D15" s="6">
        <v>0.93084168046770088</v>
      </c>
      <c r="E15" s="6">
        <v>4826498.625</v>
      </c>
      <c r="F15" s="6">
        <v>0.25140356584667589</v>
      </c>
    </row>
    <row r="16" spans="1:6" x14ac:dyDescent="0.3">
      <c r="A16" s="7"/>
      <c r="B16" t="s">
        <v>13</v>
      </c>
      <c r="C16" s="6">
        <v>2.131984228708756</v>
      </c>
      <c r="D16" s="6">
        <v>0.92581672699979123</v>
      </c>
      <c r="E16" s="6">
        <v>4745322.125</v>
      </c>
      <c r="F16" s="6">
        <v>2.0594444274162609E-3</v>
      </c>
    </row>
    <row r="17" spans="1:6" x14ac:dyDescent="0.3">
      <c r="A17" s="7"/>
      <c r="B17" t="s">
        <v>14</v>
      </c>
      <c r="C17" s="6">
        <v>2.1266415355819861</v>
      </c>
      <c r="D17" s="6">
        <v>0.93938253078278777</v>
      </c>
      <c r="E17" s="6">
        <v>4921245.875</v>
      </c>
      <c r="F17" s="6">
        <v>1.8192166383572086E-2</v>
      </c>
    </row>
    <row r="18" spans="1:6" x14ac:dyDescent="0.3">
      <c r="A18" s="7" t="s">
        <v>9</v>
      </c>
      <c r="B18" t="s">
        <v>10</v>
      </c>
      <c r="C18" s="6">
        <v>2.0503035267135026</v>
      </c>
      <c r="D18" s="6">
        <v>1.0230895974050369</v>
      </c>
      <c r="E18" s="6">
        <v>4495596.75</v>
      </c>
      <c r="F18" s="6">
        <v>2.0624789132753681E-6</v>
      </c>
    </row>
    <row r="19" spans="1:6" x14ac:dyDescent="0.3">
      <c r="A19" s="7"/>
      <c r="B19" t="s">
        <v>11</v>
      </c>
      <c r="C19" s="6">
        <v>1.9913926981914141</v>
      </c>
      <c r="D19" s="6">
        <v>0.84835662544657997</v>
      </c>
      <c r="E19" s="6">
        <v>4714998.375</v>
      </c>
      <c r="F19" s="6">
        <v>0.33043138805718542</v>
      </c>
    </row>
    <row r="20" spans="1:6" x14ac:dyDescent="0.3">
      <c r="A20" s="7"/>
      <c r="B20" t="s">
        <v>12</v>
      </c>
      <c r="C20" s="6">
        <v>2.0187291046716811</v>
      </c>
      <c r="D20" s="6">
        <v>0.89862756282274858</v>
      </c>
      <c r="E20" s="6">
        <v>4701139.625</v>
      </c>
      <c r="F20" s="6">
        <v>2.3974852516128436E-2</v>
      </c>
    </row>
    <row r="21" spans="1:6" x14ac:dyDescent="0.3">
      <c r="A21" s="7"/>
      <c r="B21" t="s">
        <v>13</v>
      </c>
      <c r="C21" s="6">
        <v>2.0236006792874459</v>
      </c>
      <c r="D21" s="6">
        <v>0.90014516311936599</v>
      </c>
      <c r="E21" s="6">
        <v>4763052.25</v>
      </c>
      <c r="F21" s="6">
        <v>2.3367382621947166E-3</v>
      </c>
    </row>
    <row r="22" spans="1:6" x14ac:dyDescent="0.3">
      <c r="A22" s="7"/>
      <c r="B22" t="s">
        <v>14</v>
      </c>
      <c r="C22" s="6">
        <v>2.0168889061004633</v>
      </c>
      <c r="D22" s="6">
        <v>0.90505881330851645</v>
      </c>
      <c r="E22" s="6">
        <v>4814056.75</v>
      </c>
      <c r="F22" s="6">
        <v>4.6646914371536391E-3</v>
      </c>
    </row>
  </sheetData>
  <mergeCells count="4">
    <mergeCell ref="A13:A17"/>
    <mergeCell ref="A18:A22"/>
    <mergeCell ref="A3:A7"/>
    <mergeCell ref="A8:A12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Landes</cp:lastModifiedBy>
  <dcterms:created xsi:type="dcterms:W3CDTF">2025-02-25T18:35:44Z</dcterms:created>
  <dcterms:modified xsi:type="dcterms:W3CDTF">2025-03-11T09:30:08Z</dcterms:modified>
</cp:coreProperties>
</file>