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xije\Dropbox\Dissertation\konferenzen\sigmod\mv\outlier_impute\"/>
    </mc:Choice>
  </mc:AlternateContent>
  <xr:revisionPtr revIDLastSave="0" documentId="13_ncr:1_{A5378600-8B28-409B-B361-3FA2637D46B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Tabelle2" sheetId="3" r:id="rId2"/>
    <sheet name="Tabelle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3" l="1"/>
  <c r="M14" i="3"/>
  <c r="H14" i="3"/>
  <c r="R13" i="3"/>
  <c r="M13" i="3"/>
  <c r="H13" i="3"/>
  <c r="R12" i="3"/>
  <c r="M12" i="3"/>
  <c r="H12" i="3"/>
  <c r="R11" i="3"/>
  <c r="M11" i="3"/>
  <c r="H11" i="3"/>
  <c r="R10" i="3"/>
  <c r="M10" i="3"/>
  <c r="H10" i="3"/>
  <c r="R9" i="3"/>
  <c r="M9" i="3"/>
  <c r="H9" i="3"/>
  <c r="R8" i="3"/>
  <c r="M8" i="3"/>
  <c r="H8" i="3"/>
  <c r="R7" i="3"/>
  <c r="M7" i="3"/>
  <c r="H7" i="3"/>
  <c r="R6" i="3"/>
  <c r="M6" i="3"/>
  <c r="H6" i="3"/>
  <c r="R5" i="3"/>
  <c r="M5" i="3"/>
  <c r="H5" i="3"/>
  <c r="R4" i="3"/>
  <c r="M4" i="3"/>
  <c r="H4" i="3"/>
  <c r="R3" i="3"/>
  <c r="M3" i="3"/>
  <c r="H3" i="3"/>
  <c r="R4" i="1"/>
  <c r="R5" i="1"/>
  <c r="R6" i="1"/>
  <c r="R7" i="1"/>
  <c r="R8" i="1"/>
  <c r="R9" i="1"/>
  <c r="R10" i="1"/>
  <c r="R11" i="1"/>
  <c r="R12" i="1"/>
  <c r="R13" i="1"/>
  <c r="R14" i="1"/>
  <c r="R3" i="1"/>
  <c r="M4" i="1"/>
  <c r="M5" i="1"/>
  <c r="M6" i="1"/>
  <c r="M7" i="1"/>
  <c r="M8" i="1"/>
  <c r="M9" i="1"/>
  <c r="M10" i="1"/>
  <c r="M11" i="1"/>
  <c r="M12" i="1"/>
  <c r="M13" i="1"/>
  <c r="M14" i="1"/>
  <c r="M3" i="1"/>
  <c r="H4" i="1"/>
  <c r="H5" i="1"/>
  <c r="H6" i="1"/>
  <c r="H7" i="1"/>
  <c r="H8" i="1"/>
  <c r="H9" i="1"/>
  <c r="H10" i="1"/>
  <c r="H11" i="1"/>
  <c r="H12" i="1"/>
  <c r="H13" i="1"/>
  <c r="H14" i="1"/>
  <c r="H3" i="1"/>
</calcChain>
</file>

<file path=xl/sharedStrings.xml><?xml version="1.0" encoding="utf-8"?>
<sst xmlns="http://schemas.openxmlformats.org/spreadsheetml/2006/main" count="225" uniqueCount="18">
  <si>
    <t>Outlier Level</t>
  </si>
  <si>
    <t>Feature</t>
  </si>
  <si>
    <t>Method</t>
  </si>
  <si>
    <t>Variance Reduction (%)</t>
  </si>
  <si>
    <t>KS-Test Statistic</t>
  </si>
  <si>
    <t>KS-Test P-Value</t>
  </si>
  <si>
    <t>Wilcoxon Stat</t>
  </si>
  <si>
    <t>Wilcoxon P-Value</t>
  </si>
  <si>
    <t>Gaze X</t>
  </si>
  <si>
    <t>Gaze Y</t>
  </si>
  <si>
    <t>ET_PupilLeft</t>
  </si>
  <si>
    <t>ET_PupilRight</t>
  </si>
  <si>
    <t>zscore</t>
  </si>
  <si>
    <t>mad</t>
  </si>
  <si>
    <t>isolationforest</t>
  </si>
  <si>
    <t>VR</t>
  </si>
  <si>
    <t>KS</t>
  </si>
  <si>
    <t>KS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</si>
</sst>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0" fillId="2" borderId="0" xfId="0" applyFill="1"/>
    <xf numFmtId="0" fontId="1" fillId="2" borderId="4" xfId="0" applyFont="1" applyFill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Variance Reduction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Sheet1!$B$3:$C$3</c:f>
              <c:strCache>
                <c:ptCount val="2"/>
                <c:pt idx="0">
                  <c:v>Gaze X</c:v>
                </c:pt>
                <c:pt idx="1">
                  <c:v>zscore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Sheet1!$D$1:$G$1</c:f>
              <c:strCache>
                <c:ptCount val="1"/>
                <c:pt idx="0">
                  <c:v>Variance Reduction (%)</c:v>
                </c:pt>
              </c:strCache>
            </c:strRef>
          </c:cat>
          <c:val>
            <c:numRef>
              <c:f>Sheet1!$D$3:$G$3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0-4F17-A34C-11EA84C5C50E}"/>
            </c:ext>
          </c:extLst>
        </c:ser>
        <c:ser>
          <c:idx val="2"/>
          <c:order val="2"/>
          <c:tx>
            <c:strRef>
              <c:f>Sheet1!$B$4:$C$4</c:f>
              <c:strCache>
                <c:ptCount val="2"/>
                <c:pt idx="0">
                  <c:v>Gaze Y</c:v>
                </c:pt>
                <c:pt idx="1">
                  <c:v>zscore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Sheet1!$D$1:$G$1</c:f>
              <c:strCache>
                <c:ptCount val="1"/>
                <c:pt idx="0">
                  <c:v>Variance Reduction (%)</c:v>
                </c:pt>
              </c:strCache>
            </c:strRef>
          </c:cat>
          <c:val>
            <c:numRef>
              <c:f>Sheet1!$D$4:$G$4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0-4F17-A34C-11EA84C5C50E}"/>
            </c:ext>
          </c:extLst>
        </c:ser>
        <c:ser>
          <c:idx val="5"/>
          <c:order val="5"/>
          <c:tx>
            <c:strRef>
              <c:f>Sheet1!$B$7:$C$7</c:f>
              <c:strCache>
                <c:ptCount val="2"/>
                <c:pt idx="0">
                  <c:v>Gaze X</c:v>
                </c:pt>
                <c:pt idx="1">
                  <c:v>mad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Sheet1!$D$1:$G$1</c:f>
              <c:strCache>
                <c:ptCount val="1"/>
                <c:pt idx="0">
                  <c:v>Variance Reduction (%)</c:v>
                </c:pt>
              </c:strCache>
            </c:strRef>
          </c:cat>
          <c:val>
            <c:numRef>
              <c:f>Sheet1!$D$7:$G$7</c:f>
              <c:numCache>
                <c:formatCode>0.00</c:formatCode>
                <c:ptCount val="4"/>
                <c:pt idx="0">
                  <c:v>441943.77344497858</c:v>
                </c:pt>
                <c:pt idx="1">
                  <c:v>576838.07097249967</c:v>
                </c:pt>
                <c:pt idx="2">
                  <c:v>481734.39237713261</c:v>
                </c:pt>
                <c:pt idx="3">
                  <c:v>1456705.5722901861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70-4F17-A34C-11EA84C5C50E}"/>
            </c:ext>
          </c:extLst>
        </c:ser>
        <c:ser>
          <c:idx val="6"/>
          <c:order val="6"/>
          <c:tx>
            <c:strRef>
              <c:f>Sheet1!$B$8:$C$8</c:f>
              <c:strCache>
                <c:ptCount val="2"/>
                <c:pt idx="0">
                  <c:v>Gaze Y</c:v>
                </c:pt>
                <c:pt idx="1">
                  <c:v>mad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Sheet1!$D$1:$G$1</c:f>
              <c:strCache>
                <c:ptCount val="1"/>
                <c:pt idx="0">
                  <c:v>Variance Reduction (%)</c:v>
                </c:pt>
              </c:strCache>
            </c:strRef>
          </c:cat>
          <c:val>
            <c:numRef>
              <c:f>Sheet1!$D$8:$G$8</c:f>
              <c:numCache>
                <c:formatCode>0.00</c:formatCode>
                <c:ptCount val="4"/>
                <c:pt idx="0">
                  <c:v>146858.0813393452</c:v>
                </c:pt>
                <c:pt idx="1">
                  <c:v>345738.23791215249</c:v>
                </c:pt>
                <c:pt idx="2">
                  <c:v>268729.28740122193</c:v>
                </c:pt>
                <c:pt idx="3">
                  <c:v>575442.39566855389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70-4F17-A34C-11EA84C5C50E}"/>
            </c:ext>
          </c:extLst>
        </c:ser>
        <c:ser>
          <c:idx val="9"/>
          <c:order val="9"/>
          <c:tx>
            <c:strRef>
              <c:f>Sheet1!$B$11:$C$11</c:f>
              <c:strCache>
                <c:ptCount val="2"/>
                <c:pt idx="0">
                  <c:v>Gaze X</c:v>
                </c:pt>
                <c:pt idx="1">
                  <c:v>isolationforest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Sheet1!$D$1:$G$1</c:f>
              <c:strCache>
                <c:ptCount val="1"/>
                <c:pt idx="0">
                  <c:v>Variance Reduction (%)</c:v>
                </c:pt>
              </c:strCache>
            </c:strRef>
          </c:cat>
          <c:val>
            <c:numRef>
              <c:f>Sheet1!$D$11:$G$11</c:f>
              <c:numCache>
                <c:formatCode>0.00</c:formatCode>
                <c:ptCount val="4"/>
                <c:pt idx="0">
                  <c:v>381948.68674408592</c:v>
                </c:pt>
                <c:pt idx="1">
                  <c:v>207975.18847089709</c:v>
                </c:pt>
                <c:pt idx="2">
                  <c:v>140141.77058946001</c:v>
                </c:pt>
                <c:pt idx="3">
                  <c:v>221873.3563002478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70-4F17-A34C-11EA84C5C50E}"/>
            </c:ext>
          </c:extLst>
        </c:ser>
        <c:ser>
          <c:idx val="10"/>
          <c:order val="10"/>
          <c:tx>
            <c:strRef>
              <c:f>Sheet1!$B$12:$C$12</c:f>
              <c:strCache>
                <c:ptCount val="2"/>
                <c:pt idx="0">
                  <c:v>Gaze Y</c:v>
                </c:pt>
                <c:pt idx="1">
                  <c:v>isolationforest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Sheet1!$D$1:$G$1</c:f>
              <c:strCache>
                <c:ptCount val="1"/>
                <c:pt idx="0">
                  <c:v>Variance Reduction (%)</c:v>
                </c:pt>
              </c:strCache>
            </c:strRef>
          </c:cat>
          <c:val>
            <c:numRef>
              <c:f>Sheet1!$D$12:$G$12</c:f>
              <c:numCache>
                <c:formatCode>0.00</c:formatCode>
                <c:ptCount val="4"/>
                <c:pt idx="0">
                  <c:v>118344.5065935704</c:v>
                </c:pt>
                <c:pt idx="1">
                  <c:v>109272.8972328026</c:v>
                </c:pt>
                <c:pt idx="2">
                  <c:v>53577.093078740727</c:v>
                </c:pt>
                <c:pt idx="3">
                  <c:v>76213.213935638196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70-4F17-A34C-11EA84C5C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903024"/>
        <c:axId val="13539001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Sheet1!$B$2:$C$2</c15:sqref>
                        </c15:formulaRef>
                      </c:ext>
                    </c:extLst>
                    <c:strCache>
                      <c:ptCount val="2"/>
                      <c:pt idx="0">
                        <c:v>Feature</c:v>
                      </c:pt>
                      <c:pt idx="1">
                        <c:v>Method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Sheet1!$D$1:$G$1</c15:sqref>
                        </c15:formulaRef>
                      </c:ext>
                    </c:extLst>
                    <c:strCache>
                      <c:ptCount val="1"/>
                      <c:pt idx="0">
                        <c:v>Variance Reduction (%)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Sheet1!$D$2:$G$2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C70-4F17-A34C-11EA84C5C50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Sheet1!$B$5:$C$5</c15:sqref>
                        </c15:formulaRef>
                      </c:ext>
                    </c:extLst>
                    <c:strCache>
                      <c:ptCount val="2"/>
                      <c:pt idx="0">
                        <c:v>ET_PupilLeft</c:v>
                      </c:pt>
                      <c:pt idx="1">
                        <c:v>zscore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Sheet1!$D$1:$G$1</c15:sqref>
                        </c15:formulaRef>
                      </c:ext>
                    </c:extLst>
                    <c:strCache>
                      <c:ptCount val="1"/>
                      <c:pt idx="0">
                        <c:v>Variance Reduction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Sheet1!$D$5:$G$5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70-4F17-A34C-11EA84C5C50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Sheet1!$B$6:$C$6</c15:sqref>
                        </c15:formulaRef>
                      </c:ext>
                    </c:extLst>
                    <c:strCache>
                      <c:ptCount val="2"/>
                      <c:pt idx="0">
                        <c:v>ET_PupilRight</c:v>
                      </c:pt>
                      <c:pt idx="1">
                        <c:v>zscore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Sheet1!$D$1:$G$1</c15:sqref>
                        </c15:formulaRef>
                      </c:ext>
                    </c:extLst>
                    <c:strCache>
                      <c:ptCount val="1"/>
                      <c:pt idx="0">
                        <c:v>Variance Reduction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Sheet1!$D$6:$G$6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70-4F17-A34C-11EA84C5C50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Sheet1!$B$9:$C$9</c15:sqref>
                        </c15:formulaRef>
                      </c:ext>
                    </c:extLst>
                    <c:strCache>
                      <c:ptCount val="2"/>
                      <c:pt idx="0">
                        <c:v>ET_PupilLeft</c:v>
                      </c:pt>
                      <c:pt idx="1">
                        <c:v>mad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Sheet1!$D$1:$G$1</c15:sqref>
                        </c15:formulaRef>
                      </c:ext>
                    </c:extLst>
                    <c:strCache>
                      <c:ptCount val="1"/>
                      <c:pt idx="0">
                        <c:v>Variance Reduction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Sheet1!$D$9:$G$9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31.97128308654472</c:v>
                      </c:pt>
                      <c:pt idx="1">
                        <c:v>34.649716988017147</c:v>
                      </c:pt>
                      <c:pt idx="2">
                        <c:v>57.785249738168197</c:v>
                      </c:pt>
                      <c:pt idx="3">
                        <c:v>78.006747118402416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C70-4F17-A34C-11EA84C5C50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Sheet1!$B$10:$C$10</c15:sqref>
                        </c15:formulaRef>
                      </c:ext>
                    </c:extLst>
                    <c:strCache>
                      <c:ptCount val="2"/>
                      <c:pt idx="0">
                        <c:v>ET_PupilRight</c:v>
                      </c:pt>
                      <c:pt idx="1">
                        <c:v>mad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Sheet1!$D$1:$G$1</c15:sqref>
                        </c15:formulaRef>
                      </c:ext>
                    </c:extLst>
                    <c:strCache>
                      <c:ptCount val="1"/>
                      <c:pt idx="0">
                        <c:v>Variance Reduction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Sheet1!$D$10:$G$10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12.168579283163149</c:v>
                      </c:pt>
                      <c:pt idx="1">
                        <c:v>17.132661287172429</c:v>
                      </c:pt>
                      <c:pt idx="2">
                        <c:v>31.659282204675989</c:v>
                      </c:pt>
                      <c:pt idx="3">
                        <c:v>44.364042385729952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C70-4F17-A34C-11EA84C5C50E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Sheet1!$B$13:$C$13</c15:sqref>
                        </c15:formulaRef>
                      </c:ext>
                    </c:extLst>
                    <c:strCache>
                      <c:ptCount val="2"/>
                      <c:pt idx="0">
                        <c:v>ET_PupilLeft</c:v>
                      </c:pt>
                      <c:pt idx="1">
                        <c:v>isolationforest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Sheet1!$D$1:$G$1</c15:sqref>
                        </c15:formulaRef>
                      </c:ext>
                    </c:extLst>
                    <c:strCache>
                      <c:ptCount val="1"/>
                      <c:pt idx="0">
                        <c:v>Variance Reduction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Sheet1!$D$13:$G$13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26.120374203118899</c:v>
                      </c:pt>
                      <c:pt idx="1">
                        <c:v>10.640034311771201</c:v>
                      </c:pt>
                      <c:pt idx="2">
                        <c:v>4.3335943024489723</c:v>
                      </c:pt>
                      <c:pt idx="3">
                        <c:v>5.5128084579288839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C70-4F17-A34C-11EA84C5C50E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Sheet1!$B$14:$C$14</c15:sqref>
                        </c15:formulaRef>
                      </c:ext>
                    </c:extLst>
                    <c:strCache>
                      <c:ptCount val="2"/>
                      <c:pt idx="0">
                        <c:v>ET_PupilRight</c:v>
                      </c:pt>
                      <c:pt idx="1">
                        <c:v>isolationforest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Sheet1!$D$1:$G$1</c15:sqref>
                        </c15:formulaRef>
                      </c:ext>
                    </c:extLst>
                    <c:strCache>
                      <c:ptCount val="1"/>
                      <c:pt idx="0">
                        <c:v>Variance Reduction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Sheet1!$D$14:$G$14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7.2992338452529788</c:v>
                      </c:pt>
                      <c:pt idx="1">
                        <c:v>4.3749273023757764</c:v>
                      </c:pt>
                      <c:pt idx="2">
                        <c:v>3.844704312253945</c:v>
                      </c:pt>
                      <c:pt idx="3">
                        <c:v>3.0362584707845599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C70-4F17-A34C-11EA84C5C50E}"/>
                  </c:ext>
                </c:extLst>
              </c15:ser>
            </c15:filteredBarSeries>
          </c:ext>
        </c:extLst>
      </c:barChart>
      <c:catAx>
        <c:axId val="135390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3900144"/>
        <c:crosses val="autoZero"/>
        <c:auto val="1"/>
        <c:lblAlgn val="ctr"/>
        <c:lblOffset val="100"/>
        <c:noMultiLvlLbl val="0"/>
      </c:catAx>
      <c:valAx>
        <c:axId val="135390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390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Sheet1!$B$3:$C$3</c:f>
              <c:strCache>
                <c:ptCount val="2"/>
                <c:pt idx="0">
                  <c:v>Gaze X</c:v>
                </c:pt>
                <c:pt idx="1">
                  <c:v>zscore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Sheet1!$I$1:$L$2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KS-Test Statistic</c:v>
                  </c:pt>
                </c:lvl>
              </c:multiLvlStrCache>
            </c:multiLvlStrRef>
          </c:cat>
          <c:val>
            <c:numRef>
              <c:f>Sheet1!$I$3:$L$3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9-4AE8-846D-007008D1C34C}"/>
            </c:ext>
          </c:extLst>
        </c:ser>
        <c:ser>
          <c:idx val="1"/>
          <c:order val="1"/>
          <c:tx>
            <c:strRef>
              <c:f>Sheet1!$B$4:$C$4</c:f>
              <c:strCache>
                <c:ptCount val="2"/>
                <c:pt idx="0">
                  <c:v>Gaze Y</c:v>
                </c:pt>
                <c:pt idx="1">
                  <c:v>zscore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Sheet1!$I$1:$L$2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KS-Test Statistic</c:v>
                  </c:pt>
                </c:lvl>
              </c:multiLvlStrCache>
            </c:multiLvlStrRef>
          </c:cat>
          <c:val>
            <c:numRef>
              <c:f>Sheet1!$I$4:$L$4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9.0293453724604961E-4</c:v>
                </c:pt>
                <c:pt idx="3">
                  <c:v>1.805869074492099E-3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19-4AE8-846D-007008D1C34C}"/>
            </c:ext>
          </c:extLst>
        </c:ser>
        <c:ser>
          <c:idx val="4"/>
          <c:order val="4"/>
          <c:tx>
            <c:strRef>
              <c:f>Sheet1!$B$7:$C$7</c:f>
              <c:strCache>
                <c:ptCount val="2"/>
                <c:pt idx="0">
                  <c:v>Gaze X</c:v>
                </c:pt>
                <c:pt idx="1">
                  <c:v>mad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Sheet1!$I$1:$L$2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KS-Test Statistic</c:v>
                  </c:pt>
                </c:lvl>
              </c:multiLvlStrCache>
            </c:multiLvlStrRef>
          </c:cat>
          <c:val>
            <c:numRef>
              <c:f>Sheet1!$I$7:$L$7</c:f>
              <c:numCache>
                <c:formatCode>General</c:formatCode>
                <c:ptCount val="4"/>
                <c:pt idx="0">
                  <c:v>0.11726546906187631</c:v>
                </c:pt>
                <c:pt idx="1">
                  <c:v>0.15943113772455089</c:v>
                </c:pt>
                <c:pt idx="2">
                  <c:v>0.17265469061876251</c:v>
                </c:pt>
                <c:pt idx="3">
                  <c:v>0.19885229540918159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19-4AE8-846D-007008D1C34C}"/>
            </c:ext>
          </c:extLst>
        </c:ser>
        <c:ser>
          <c:idx val="5"/>
          <c:order val="5"/>
          <c:tx>
            <c:strRef>
              <c:f>Sheet1!$B$8:$C$8</c:f>
              <c:strCache>
                <c:ptCount val="2"/>
                <c:pt idx="0">
                  <c:v>Gaze Y</c:v>
                </c:pt>
                <c:pt idx="1">
                  <c:v>mad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Sheet1!$I$1:$L$2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KS-Test Statistic</c:v>
                  </c:pt>
                </c:lvl>
              </c:multiLvlStrCache>
            </c:multiLvlStrRef>
          </c:cat>
          <c:val>
            <c:numRef>
              <c:f>Sheet1!$I$8:$L$8</c:f>
              <c:numCache>
                <c:formatCode>General</c:formatCode>
                <c:ptCount val="4"/>
                <c:pt idx="0">
                  <c:v>0.1065462753950339</c:v>
                </c:pt>
                <c:pt idx="1">
                  <c:v>0.14808126410835221</c:v>
                </c:pt>
                <c:pt idx="2">
                  <c:v>0.19954853273137699</c:v>
                </c:pt>
                <c:pt idx="3">
                  <c:v>0.2144469525959368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19-4AE8-846D-007008D1C34C}"/>
            </c:ext>
          </c:extLst>
        </c:ser>
        <c:ser>
          <c:idx val="8"/>
          <c:order val="8"/>
          <c:tx>
            <c:strRef>
              <c:f>Sheet1!$B$11:$C$11</c:f>
              <c:strCache>
                <c:ptCount val="2"/>
                <c:pt idx="0">
                  <c:v>Gaze X</c:v>
                </c:pt>
                <c:pt idx="1">
                  <c:v>isolationforest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Sheet1!$I$1:$L$2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KS-Test Statistic</c:v>
                  </c:pt>
                </c:lvl>
              </c:multiLvlStrCache>
            </c:multiLvlStrRef>
          </c:cat>
          <c:val>
            <c:numRef>
              <c:f>Sheet1!$I$11:$L$11</c:f>
              <c:numCache>
                <c:formatCode>General</c:formatCode>
                <c:ptCount val="4"/>
                <c:pt idx="0">
                  <c:v>4.8993620324363087E-2</c:v>
                </c:pt>
                <c:pt idx="1">
                  <c:v>4.0408151388318707E-2</c:v>
                </c:pt>
                <c:pt idx="2">
                  <c:v>3.5260690898444517E-2</c:v>
                </c:pt>
                <c:pt idx="3">
                  <c:v>3.4449483386168843E-2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19-4AE8-846D-007008D1C34C}"/>
            </c:ext>
          </c:extLst>
        </c:ser>
        <c:ser>
          <c:idx val="9"/>
          <c:order val="9"/>
          <c:tx>
            <c:strRef>
              <c:f>Sheet1!$B$12:$C$12</c:f>
              <c:strCache>
                <c:ptCount val="2"/>
                <c:pt idx="0">
                  <c:v>Gaze Y</c:v>
                </c:pt>
                <c:pt idx="1">
                  <c:v>isolationforest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Sheet1!$I$1:$L$2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KS-Test Statistic</c:v>
                  </c:pt>
                </c:lvl>
              </c:multiLvlStrCache>
            </c:multiLvlStrRef>
          </c:cat>
          <c:val>
            <c:numRef>
              <c:f>Sheet1!$I$12:$L$12</c:f>
              <c:numCache>
                <c:formatCode>General</c:formatCode>
                <c:ptCount val="4"/>
                <c:pt idx="0">
                  <c:v>4.7284973693019421E-2</c:v>
                </c:pt>
                <c:pt idx="1">
                  <c:v>4.2582195554355072E-2</c:v>
                </c:pt>
                <c:pt idx="2">
                  <c:v>3.8662892995390913E-2</c:v>
                </c:pt>
                <c:pt idx="3">
                  <c:v>3.8126689518713598E-2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119-4AE8-846D-007008D1C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024336"/>
        <c:axId val="829020976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Sheet1!$B$5:$C$5</c15:sqref>
                        </c15:formulaRef>
                      </c:ext>
                    </c:extLst>
                    <c:strCache>
                      <c:ptCount val="2"/>
                      <c:pt idx="0">
                        <c:v>ET_PupilLeft</c:v>
                      </c:pt>
                      <c:pt idx="1">
                        <c:v>zscore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Sheet1!$I$1:$L$2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5</c:v>
                        </c:pt>
                        <c:pt idx="1">
                          <c:v>10</c:v>
                        </c:pt>
                        <c:pt idx="2">
                          <c:v>15</c:v>
                        </c:pt>
                        <c:pt idx="3">
                          <c:v>20</c:v>
                        </c:pt>
                      </c:lvl>
                      <c:lvl>
                        <c:pt idx="0">
                          <c:v>KS-Test Statistic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Sheet1!$I$5:$L$5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1.85459940652819E-4</c:v>
                      </c:pt>
                      <c:pt idx="1">
                        <c:v>1.85459940652819E-4</c:v>
                      </c:pt>
                      <c:pt idx="2">
                        <c:v>1.85459940652819E-4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119-4AE8-846D-007008D1C34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Sheet1!$B$6:$C$6</c15:sqref>
                        </c15:formulaRef>
                      </c:ext>
                    </c:extLst>
                    <c:strCache>
                      <c:ptCount val="2"/>
                      <c:pt idx="0">
                        <c:v>ET_PupilRight</c:v>
                      </c:pt>
                      <c:pt idx="1">
                        <c:v>zscore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Sheet1!$I$1:$L$2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5</c:v>
                        </c:pt>
                        <c:pt idx="1">
                          <c:v>10</c:v>
                        </c:pt>
                        <c:pt idx="2">
                          <c:v>15</c:v>
                        </c:pt>
                        <c:pt idx="3">
                          <c:v>20</c:v>
                        </c:pt>
                      </c:lvl>
                      <c:lvl>
                        <c:pt idx="0">
                          <c:v>KS-Test Statistic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Sheet1!$I$6:$L$6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1.85459940652819E-4</c:v>
                      </c:pt>
                      <c:pt idx="3">
                        <c:v>1.85459940652819E-4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119-4AE8-846D-007008D1C34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Sheet1!$B$9:$C$9</c15:sqref>
                        </c15:formulaRef>
                      </c:ext>
                    </c:extLst>
                    <c:strCache>
                      <c:ptCount val="2"/>
                      <c:pt idx="0">
                        <c:v>ET_PupilLeft</c:v>
                      </c:pt>
                      <c:pt idx="1">
                        <c:v>mad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Sheet1!$I$1:$L$2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5</c:v>
                        </c:pt>
                        <c:pt idx="1">
                          <c:v>10</c:v>
                        </c:pt>
                        <c:pt idx="2">
                          <c:v>15</c:v>
                        </c:pt>
                        <c:pt idx="3">
                          <c:v>20</c:v>
                        </c:pt>
                      </c:lvl>
                      <c:lvl>
                        <c:pt idx="0">
                          <c:v>KS-Test Statistic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Sheet1!$I$9:$L$9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0.24462166172106831</c:v>
                      </c:pt>
                      <c:pt idx="1">
                        <c:v>0.23089762611275971</c:v>
                      </c:pt>
                      <c:pt idx="2">
                        <c:v>0.21865727002967361</c:v>
                      </c:pt>
                      <c:pt idx="3">
                        <c:v>0.20456231454005941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119-4AE8-846D-007008D1C34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Sheet1!$B$10:$C$10</c15:sqref>
                        </c15:formulaRef>
                      </c:ext>
                    </c:extLst>
                    <c:strCache>
                      <c:ptCount val="2"/>
                      <c:pt idx="0">
                        <c:v>ET_PupilRight</c:v>
                      </c:pt>
                      <c:pt idx="1">
                        <c:v>mad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Sheet1!$I$1:$L$2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5</c:v>
                        </c:pt>
                        <c:pt idx="1">
                          <c:v>10</c:v>
                        </c:pt>
                        <c:pt idx="2">
                          <c:v>15</c:v>
                        </c:pt>
                        <c:pt idx="3">
                          <c:v>20</c:v>
                        </c:pt>
                      </c:lvl>
                      <c:lvl>
                        <c:pt idx="0">
                          <c:v>KS-Test Statistic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Sheet1!$I$10:$L$10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0.2498145400593472</c:v>
                      </c:pt>
                      <c:pt idx="1">
                        <c:v>0.2392433234421365</c:v>
                      </c:pt>
                      <c:pt idx="2">
                        <c:v>0.22292284866468839</c:v>
                      </c:pt>
                      <c:pt idx="3">
                        <c:v>0.2097551928783383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119-4AE8-846D-007008D1C34C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Sheet1!$B$13:$C$13</c15:sqref>
                        </c15:formulaRef>
                      </c:ext>
                    </c:extLst>
                    <c:strCache>
                      <c:ptCount val="2"/>
                      <c:pt idx="0">
                        <c:v>ET_PupilLeft</c:v>
                      </c:pt>
                      <c:pt idx="1">
                        <c:v>isolationforest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Sheet1!$I$1:$L$2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5</c:v>
                        </c:pt>
                        <c:pt idx="1">
                          <c:v>10</c:v>
                        </c:pt>
                        <c:pt idx="2">
                          <c:v>15</c:v>
                        </c:pt>
                        <c:pt idx="3">
                          <c:v>20</c:v>
                        </c:pt>
                      </c:lvl>
                      <c:lvl>
                        <c:pt idx="0">
                          <c:v>KS-Test Statistic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Sheet1!$I$13:$L$13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4.9869247664717967E-2</c:v>
                      </c:pt>
                      <c:pt idx="1">
                        <c:v>4.7053888097773382E-2</c:v>
                      </c:pt>
                      <c:pt idx="2">
                        <c:v>1.28409279405925E-2</c:v>
                      </c:pt>
                      <c:pt idx="3">
                        <c:v>1.7323658888614809E-2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119-4AE8-846D-007008D1C34C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Sheet1!$B$14:$C$14</c15:sqref>
                        </c15:formulaRef>
                      </c:ext>
                    </c:extLst>
                    <c:strCache>
                      <c:ptCount val="2"/>
                      <c:pt idx="0">
                        <c:v>ET_PupilRight</c:v>
                      </c:pt>
                      <c:pt idx="1">
                        <c:v>isolationforest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Sheet1!$I$1:$L$2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5</c:v>
                        </c:pt>
                        <c:pt idx="1">
                          <c:v>10</c:v>
                        </c:pt>
                        <c:pt idx="2">
                          <c:v>15</c:v>
                        </c:pt>
                        <c:pt idx="3">
                          <c:v>20</c:v>
                        </c:pt>
                      </c:lvl>
                      <c:lvl>
                        <c:pt idx="0">
                          <c:v>KS-Test Statistic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Sheet1!$I$14:$L$14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4.988872403560831E-2</c:v>
                      </c:pt>
                      <c:pt idx="1">
                        <c:v>4.7103639821448842E-2</c:v>
                      </c:pt>
                      <c:pt idx="2">
                        <c:v>4.4794984572282023E-2</c:v>
                      </c:pt>
                      <c:pt idx="3">
                        <c:v>1.6806240145015701E-2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119-4AE8-846D-007008D1C34C}"/>
                  </c:ext>
                </c:extLst>
              </c15:ser>
            </c15:filteredBarSeries>
          </c:ext>
        </c:extLst>
      </c:barChart>
      <c:catAx>
        <c:axId val="82902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29020976"/>
        <c:crosses val="autoZero"/>
        <c:auto val="1"/>
        <c:lblAlgn val="ctr"/>
        <c:lblOffset val="100"/>
        <c:noMultiLvlLbl val="0"/>
      </c:catAx>
      <c:valAx>
        <c:axId val="82902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2902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VR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Sheet1!$B$2:$C$14</c15:sqref>
                  </c15:fullRef>
                </c:ext>
              </c:extLst>
              <c:f>(Sheet1!$B$3:$C$4,Sheet1!$B$7:$C$8,Sheet1!$B$11:$C$12)</c:f>
              <c:multiLvlStrCache>
                <c:ptCount val="6"/>
                <c:lvl>
                  <c:pt idx="0">
                    <c:v>zscore</c:v>
                  </c:pt>
                  <c:pt idx="1">
                    <c:v>zscore</c:v>
                  </c:pt>
                  <c:pt idx="2">
                    <c:v>mad</c:v>
                  </c:pt>
                  <c:pt idx="3">
                    <c:v>mad</c:v>
                  </c:pt>
                  <c:pt idx="4">
                    <c:v>isolationforest</c:v>
                  </c:pt>
                  <c:pt idx="5">
                    <c:v>isolationforest</c:v>
                  </c:pt>
                </c:lvl>
                <c:lvl>
                  <c:pt idx="0">
                    <c:v>Gaze X</c:v>
                  </c:pt>
                  <c:pt idx="1">
                    <c:v>Gaze Y</c:v>
                  </c:pt>
                  <c:pt idx="2">
                    <c:v>Gaze X</c:v>
                  </c:pt>
                  <c:pt idx="3">
                    <c:v>Gaze Y</c:v>
                  </c:pt>
                  <c:pt idx="4">
                    <c:v>Gaze X</c:v>
                  </c:pt>
                  <c:pt idx="5">
                    <c:v>Gaze 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Sheet1!$H$2:$H$14</c15:sqref>
                  </c15:fullRef>
                </c:ext>
              </c:extLst>
              <c:f>(Sheet1!$H$3:$H$4,Sheet1!$H$7:$H$8,Sheet1!$H$11:$H$12)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739305.4522711992</c:v>
                </c:pt>
                <c:pt idx="3">
                  <c:v>334192.00058031839</c:v>
                </c:pt>
                <c:pt idx="4">
                  <c:v>237984.75052617272</c:v>
                </c:pt>
                <c:pt idx="5">
                  <c:v>89351.927710187971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E-495A-A072-B84A22B648B8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KS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Sheet1!$B$2:$C$14</c15:sqref>
                  </c15:fullRef>
                </c:ext>
              </c:extLst>
              <c:f>(Sheet1!$B$3:$C$4,Sheet1!$B$7:$C$8,Sheet1!$B$11:$C$12)</c:f>
              <c:multiLvlStrCache>
                <c:ptCount val="6"/>
                <c:lvl>
                  <c:pt idx="0">
                    <c:v>zscore</c:v>
                  </c:pt>
                  <c:pt idx="1">
                    <c:v>zscore</c:v>
                  </c:pt>
                  <c:pt idx="2">
                    <c:v>mad</c:v>
                  </c:pt>
                  <c:pt idx="3">
                    <c:v>mad</c:v>
                  </c:pt>
                  <c:pt idx="4">
                    <c:v>isolationforest</c:v>
                  </c:pt>
                  <c:pt idx="5">
                    <c:v>isolationforest</c:v>
                  </c:pt>
                </c:lvl>
                <c:lvl>
                  <c:pt idx="0">
                    <c:v>Gaze X</c:v>
                  </c:pt>
                  <c:pt idx="1">
                    <c:v>Gaze Y</c:v>
                  </c:pt>
                  <c:pt idx="2">
                    <c:v>Gaze X</c:v>
                  </c:pt>
                  <c:pt idx="3">
                    <c:v>Gaze Y</c:v>
                  </c:pt>
                  <c:pt idx="4">
                    <c:v>Gaze X</c:v>
                  </c:pt>
                  <c:pt idx="5">
                    <c:v>Gaze 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Sheet1!$M$2:$M$14</c15:sqref>
                  </c15:fullRef>
                </c:ext>
              </c:extLst>
              <c:f>(Sheet1!$M$3:$M$4,Sheet1!$M$7:$M$8,Sheet1!$M$11:$M$12)</c:f>
              <c:numCache>
                <c:formatCode>General</c:formatCode>
                <c:ptCount val="6"/>
                <c:pt idx="0">
                  <c:v>0</c:v>
                </c:pt>
                <c:pt idx="1">
                  <c:v>6.7720090293453712E-4</c:v>
                </c:pt>
                <c:pt idx="2">
                  <c:v>0.16205089820359284</c:v>
                </c:pt>
                <c:pt idx="3">
                  <c:v>0.16715575620767498</c:v>
                </c:pt>
                <c:pt idx="4">
                  <c:v>3.9777986499323792E-2</c:v>
                </c:pt>
                <c:pt idx="5">
                  <c:v>4.1664187940369753E-2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E-495A-A072-B84A22B648B8}"/>
            </c:ext>
          </c:extLst>
        </c:ser>
        <c:ser>
          <c:idx val="2"/>
          <c:order val="2"/>
          <c:tx>
            <c:strRef>
              <c:f>Sheet1!$R$1</c:f>
              <c:strCache>
                <c:ptCount val="1"/>
                <c:pt idx="0">
                  <c:v>KS V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Sheet1!$B$2:$C$14</c15:sqref>
                  </c15:fullRef>
                </c:ext>
              </c:extLst>
              <c:f>(Sheet1!$B$3:$C$4,Sheet1!$B$7:$C$8,Sheet1!$B$11:$C$12)</c:f>
              <c:multiLvlStrCache>
                <c:ptCount val="6"/>
                <c:lvl>
                  <c:pt idx="0">
                    <c:v>zscore</c:v>
                  </c:pt>
                  <c:pt idx="1">
                    <c:v>zscore</c:v>
                  </c:pt>
                  <c:pt idx="2">
                    <c:v>mad</c:v>
                  </c:pt>
                  <c:pt idx="3">
                    <c:v>mad</c:v>
                  </c:pt>
                  <c:pt idx="4">
                    <c:v>isolationforest</c:v>
                  </c:pt>
                  <c:pt idx="5">
                    <c:v>isolationforest</c:v>
                  </c:pt>
                </c:lvl>
                <c:lvl>
                  <c:pt idx="0">
                    <c:v>Gaze X</c:v>
                  </c:pt>
                  <c:pt idx="1">
                    <c:v>Gaze Y</c:v>
                  </c:pt>
                  <c:pt idx="2">
                    <c:v>Gaze X</c:v>
                  </c:pt>
                  <c:pt idx="3">
                    <c:v>Gaze Y</c:v>
                  </c:pt>
                  <c:pt idx="4">
                    <c:v>Gaze X</c:v>
                  </c:pt>
                  <c:pt idx="5">
                    <c:v>Gaze 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Sheet1!$R$2:$R$14</c15:sqref>
                  </c15:fullRef>
                </c:ext>
              </c:extLst>
              <c:f>(Sheet1!$R$3:$R$4,Sheet1!$R$7:$R$8,Sheet1!$R$11:$R$12)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1.4443701693268353E-23</c:v>
                </c:pt>
                <c:pt idx="3">
                  <c:v>2.161242040146406E-11</c:v>
                </c:pt>
                <c:pt idx="4">
                  <c:v>9.3199383542018517E-3</c:v>
                </c:pt>
                <c:pt idx="5">
                  <c:v>5.3509148426574407E-2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3E-495A-A072-B84A22B648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60049664"/>
        <c:axId val="1160050144"/>
      </c:barChart>
      <c:catAx>
        <c:axId val="116004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0050144"/>
        <c:crosses val="autoZero"/>
        <c:auto val="1"/>
        <c:lblAlgn val="ctr"/>
        <c:lblOffset val="100"/>
        <c:noMultiLvlLbl val="0"/>
      </c:catAx>
      <c:valAx>
        <c:axId val="116005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004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Variance Reduction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Tabelle1!$A$3:$B$3</c:f>
              <c:strCache>
                <c:ptCount val="2"/>
                <c:pt idx="0">
                  <c:v>Gaze X</c:v>
                </c:pt>
                <c:pt idx="1">
                  <c:v>zscore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Tabelle1!$C$3:$F$3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9-4D56-8BF8-6F01B8FC782C}"/>
            </c:ext>
          </c:extLst>
        </c:ser>
        <c:ser>
          <c:idx val="1"/>
          <c:order val="1"/>
          <c:tx>
            <c:strRef>
              <c:f>Tabelle1!$A$4:$B$4</c:f>
              <c:strCache>
                <c:ptCount val="2"/>
                <c:pt idx="0">
                  <c:v>Gaze X</c:v>
                </c:pt>
                <c:pt idx="1">
                  <c:v>mad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Tabelle1!$C$4:$F$4</c:f>
              <c:numCache>
                <c:formatCode>0.00</c:formatCode>
                <c:ptCount val="4"/>
                <c:pt idx="0">
                  <c:v>441943.77344497858</c:v>
                </c:pt>
                <c:pt idx="1">
                  <c:v>576838.07097249967</c:v>
                </c:pt>
                <c:pt idx="2">
                  <c:v>481734.39237713261</c:v>
                </c:pt>
                <c:pt idx="3">
                  <c:v>1456705.5722901861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9-4D56-8BF8-6F01B8FC782C}"/>
            </c:ext>
          </c:extLst>
        </c:ser>
        <c:ser>
          <c:idx val="2"/>
          <c:order val="2"/>
          <c:tx>
            <c:strRef>
              <c:f>Tabelle1!$A$5:$B$5</c:f>
              <c:strCache>
                <c:ptCount val="2"/>
                <c:pt idx="0">
                  <c:v>Gaze X</c:v>
                </c:pt>
                <c:pt idx="1">
                  <c:v>isolationforest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Tabelle1!$C$5:$F$5</c:f>
              <c:numCache>
                <c:formatCode>0.00</c:formatCode>
                <c:ptCount val="4"/>
                <c:pt idx="0">
                  <c:v>381948.68674408592</c:v>
                </c:pt>
                <c:pt idx="1">
                  <c:v>207975.18847089709</c:v>
                </c:pt>
                <c:pt idx="2">
                  <c:v>140141.77058946001</c:v>
                </c:pt>
                <c:pt idx="3">
                  <c:v>221873.3563002478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9-4D56-8BF8-6F01B8FC782C}"/>
            </c:ext>
          </c:extLst>
        </c:ser>
        <c:ser>
          <c:idx val="3"/>
          <c:order val="3"/>
          <c:tx>
            <c:strRef>
              <c:f>Tabelle1!$A$6:$B$6</c:f>
              <c:strCache>
                <c:ptCount val="2"/>
                <c:pt idx="0">
                  <c:v>Gaze Y</c:v>
                </c:pt>
                <c:pt idx="1">
                  <c:v>zscore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Tabelle1!$C$6:$F$6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09-4D56-8BF8-6F01B8FC782C}"/>
            </c:ext>
          </c:extLst>
        </c:ser>
        <c:ser>
          <c:idx val="4"/>
          <c:order val="4"/>
          <c:tx>
            <c:strRef>
              <c:f>Tabelle1!$A$7:$B$7</c:f>
              <c:strCache>
                <c:ptCount val="2"/>
                <c:pt idx="0">
                  <c:v>Gaze Y</c:v>
                </c:pt>
                <c:pt idx="1">
                  <c:v>mad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Tabelle1!$C$7:$F$7</c:f>
              <c:numCache>
                <c:formatCode>0.00</c:formatCode>
                <c:ptCount val="4"/>
                <c:pt idx="0">
                  <c:v>146858.0813393452</c:v>
                </c:pt>
                <c:pt idx="1">
                  <c:v>345738.23791215249</c:v>
                </c:pt>
                <c:pt idx="2">
                  <c:v>268729.28740122193</c:v>
                </c:pt>
                <c:pt idx="3">
                  <c:v>575442.39566855389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09-4D56-8BF8-6F01B8FC782C}"/>
            </c:ext>
          </c:extLst>
        </c:ser>
        <c:ser>
          <c:idx val="5"/>
          <c:order val="5"/>
          <c:tx>
            <c:strRef>
              <c:f>Tabelle1!$A$8:$B$8</c:f>
              <c:strCache>
                <c:ptCount val="2"/>
                <c:pt idx="0">
                  <c:v>Gaze Y</c:v>
                </c:pt>
                <c:pt idx="1">
                  <c:v>isolationforest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Tabelle1!$C$8:$F$8</c:f>
              <c:numCache>
                <c:formatCode>0.00</c:formatCode>
                <c:ptCount val="4"/>
                <c:pt idx="0">
                  <c:v>118344.5065935704</c:v>
                </c:pt>
                <c:pt idx="1">
                  <c:v>109272.8972328026</c:v>
                </c:pt>
                <c:pt idx="2">
                  <c:v>53577.093078740727</c:v>
                </c:pt>
                <c:pt idx="3">
                  <c:v>76213.213935638196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09-4D56-8BF8-6F01B8FC7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676128"/>
        <c:axId val="1423675648"/>
      </c:barChart>
      <c:catAx>
        <c:axId val="14236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3675648"/>
        <c:crosses val="autoZero"/>
        <c:auto val="1"/>
        <c:lblAlgn val="ctr"/>
        <c:lblOffset val="100"/>
        <c:noMultiLvlLbl val="0"/>
      </c:catAx>
      <c:valAx>
        <c:axId val="142367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367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Gaze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Tabelle1!$A$3:$B$3</c:f>
              <c:strCache>
                <c:ptCount val="2"/>
                <c:pt idx="0">
                  <c:v>Gaze X</c:v>
                </c:pt>
                <c:pt idx="1">
                  <c:v>zscore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Tabelle1!$C$3:$F$3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0-4D36-AAD0-4197101A9864}"/>
            </c:ext>
          </c:extLst>
        </c:ser>
        <c:ser>
          <c:idx val="1"/>
          <c:order val="1"/>
          <c:tx>
            <c:strRef>
              <c:f>Tabelle1!$A$4:$B$4</c:f>
              <c:strCache>
                <c:ptCount val="2"/>
                <c:pt idx="0">
                  <c:v>Gaze X</c:v>
                </c:pt>
                <c:pt idx="1">
                  <c:v>mad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Tabelle1!$C$4:$F$4</c:f>
              <c:numCache>
                <c:formatCode>0.00</c:formatCode>
                <c:ptCount val="4"/>
                <c:pt idx="0">
                  <c:v>441943.77344497858</c:v>
                </c:pt>
                <c:pt idx="1">
                  <c:v>576838.07097249967</c:v>
                </c:pt>
                <c:pt idx="2">
                  <c:v>481734.39237713261</c:v>
                </c:pt>
                <c:pt idx="3">
                  <c:v>1456705.5722901861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00-4D36-AAD0-4197101A9864}"/>
            </c:ext>
          </c:extLst>
        </c:ser>
        <c:ser>
          <c:idx val="2"/>
          <c:order val="2"/>
          <c:tx>
            <c:strRef>
              <c:f>Tabelle1!$A$5:$B$5</c:f>
              <c:strCache>
                <c:ptCount val="2"/>
                <c:pt idx="0">
                  <c:v>Gaze X</c:v>
                </c:pt>
                <c:pt idx="1">
                  <c:v>isolationforest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Tabelle1!$C$5:$F$5</c:f>
              <c:numCache>
                <c:formatCode>0.00</c:formatCode>
                <c:ptCount val="4"/>
                <c:pt idx="0">
                  <c:v>381948.68674408592</c:v>
                </c:pt>
                <c:pt idx="1">
                  <c:v>207975.18847089709</c:v>
                </c:pt>
                <c:pt idx="2">
                  <c:v>140141.77058946001</c:v>
                </c:pt>
                <c:pt idx="3">
                  <c:v>221873.3563002478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00-4D36-AAD0-4197101A9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4905824"/>
        <c:axId val="1634905344"/>
      </c:barChart>
      <c:catAx>
        <c:axId val="163490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4905344"/>
        <c:crosses val="autoZero"/>
        <c:auto val="1"/>
        <c:lblAlgn val="ctr"/>
        <c:lblOffset val="100"/>
        <c:noMultiLvlLbl val="0"/>
      </c:catAx>
      <c:valAx>
        <c:axId val="163490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490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Gaze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Tabelle1!$A$6:$B$6</c:f>
              <c:strCache>
                <c:ptCount val="2"/>
                <c:pt idx="0">
                  <c:v>Gaze Y</c:v>
                </c:pt>
                <c:pt idx="1">
                  <c:v>zscore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Tabelle1!$C$6:$F$6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2-4F1B-9C6A-D640751176C6}"/>
            </c:ext>
          </c:extLst>
        </c:ser>
        <c:ser>
          <c:idx val="1"/>
          <c:order val="1"/>
          <c:tx>
            <c:strRef>
              <c:f>Tabelle1!$A$7:$B$7</c:f>
              <c:strCache>
                <c:ptCount val="2"/>
                <c:pt idx="0">
                  <c:v>Gaze Y</c:v>
                </c:pt>
                <c:pt idx="1">
                  <c:v>mad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Tabelle1!$C$7:$F$7</c:f>
              <c:numCache>
                <c:formatCode>0.00</c:formatCode>
                <c:ptCount val="4"/>
                <c:pt idx="0">
                  <c:v>146858.0813393452</c:v>
                </c:pt>
                <c:pt idx="1">
                  <c:v>345738.23791215249</c:v>
                </c:pt>
                <c:pt idx="2">
                  <c:v>268729.28740122193</c:v>
                </c:pt>
                <c:pt idx="3">
                  <c:v>575442.39566855389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2-4F1B-9C6A-D640751176C6}"/>
            </c:ext>
          </c:extLst>
        </c:ser>
        <c:ser>
          <c:idx val="2"/>
          <c:order val="2"/>
          <c:tx>
            <c:strRef>
              <c:f>Tabelle1!$A$8:$B$8</c:f>
              <c:strCache>
                <c:ptCount val="2"/>
                <c:pt idx="0">
                  <c:v>Gaze Y</c:v>
                </c:pt>
                <c:pt idx="1">
                  <c:v>isolationforest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Tabelle1!$C$1:$F$2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</c:lvl>
                <c:lvl>
                  <c:pt idx="0">
                    <c:v>Variance Reduction (%)</c:v>
                  </c:pt>
                </c:lvl>
              </c:multiLvlStrCache>
            </c:multiLvlStrRef>
          </c:cat>
          <c:val>
            <c:numRef>
              <c:f>Tabelle1!$C$8:$F$8</c:f>
              <c:numCache>
                <c:formatCode>0.00</c:formatCode>
                <c:ptCount val="4"/>
                <c:pt idx="0">
                  <c:v>118344.5065935704</c:v>
                </c:pt>
                <c:pt idx="1">
                  <c:v>109272.8972328026</c:v>
                </c:pt>
                <c:pt idx="2">
                  <c:v>53577.093078740727</c:v>
                </c:pt>
                <c:pt idx="3">
                  <c:v>76213.213935638196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02-4F1B-9C6A-D64075117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525872"/>
        <c:axId val="1163524912"/>
      </c:barChart>
      <c:catAx>
        <c:axId val="116352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524912"/>
        <c:crosses val="autoZero"/>
        <c:auto val="1"/>
        <c:lblAlgn val="ctr"/>
        <c:lblOffset val="100"/>
        <c:noMultiLvlLbl val="0"/>
      </c:catAx>
      <c:valAx>
        <c:axId val="116352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5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14</xdr:row>
      <xdr:rowOff>83820</xdr:rowOff>
    </xdr:from>
    <xdr:to>
      <xdr:col>8</xdr:col>
      <xdr:colOff>472440</xdr:colOff>
      <xdr:row>31</xdr:row>
      <xdr:rowOff>60960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4527DDC-7338-374D-02C1-0AFD2D238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91440</xdr:colOff>
      <xdr:row>14</xdr:row>
      <xdr:rowOff>129540</xdr:rowOff>
    </xdr:from>
    <xdr:to>
      <xdr:col>14</xdr:col>
      <xdr:colOff>144780</xdr:colOff>
      <xdr:row>26</xdr:row>
      <xdr:rowOff>60960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D67E5C3-B629-416C-4D91-D936617AE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45720</xdr:colOff>
      <xdr:row>29</xdr:row>
      <xdr:rowOff>144780</xdr:rowOff>
    </xdr:from>
    <xdr:to>
      <xdr:col>11</xdr:col>
      <xdr:colOff>60960</xdr:colOff>
      <xdr:row>59</xdr:row>
      <xdr:rowOff>121920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1977E80-8084-7385-782E-6692D8E56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10</xdr:row>
      <xdr:rowOff>152400</xdr:rowOff>
    </xdr:from>
    <xdr:to>
      <xdr:col>7</xdr:col>
      <xdr:colOff>312420</xdr:colOff>
      <xdr:row>25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B713B6E-DA9B-2034-B1CC-DC17C2936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121920</xdr:colOff>
      <xdr:row>2</xdr:row>
      <xdr:rowOff>152400</xdr:rowOff>
    </xdr:from>
    <xdr:to>
      <xdr:col>13</xdr:col>
      <xdr:colOff>731520</xdr:colOff>
      <xdr:row>17</xdr:row>
      <xdr:rowOff>152400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6ADF2B1-B8D5-FC13-F5E0-A9E0459FC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18</xdr:row>
      <xdr:rowOff>76200</xdr:rowOff>
    </xdr:from>
    <xdr:to>
      <xdr:col>13</xdr:col>
      <xdr:colOff>723900</xdr:colOff>
      <xdr:row>33</xdr:row>
      <xdr:rowOff>76200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F405110-F4DC-870E-D50D-53F6EAB53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workbookViewId="0">
      <selection sqref="A1:XFD1048576"/>
    </sheetView>
  </sheetViews>
  <sheetFormatPr baseColWidth="10" defaultColWidth="12" defaultRowHeight="14.4" x14ac:dyDescent="0.3"/>
  <cols>
    <col min="1" max="1" width="5.33203125" customWidth="1"/>
    <col min="8" max="8" width="12" style="5"/>
    <col min="13" max="13" width="12" style="5"/>
    <col min="18" max="18" width="12" style="5"/>
  </cols>
  <sheetData>
    <row r="1" spans="1:20" x14ac:dyDescent="0.3">
      <c r="A1" s="1" t="s">
        <v>0</v>
      </c>
      <c r="B1" s="1" t="s">
        <v>1</v>
      </c>
      <c r="C1" s="1" t="s">
        <v>2</v>
      </c>
      <c r="D1" s="8" t="s">
        <v>3</v>
      </c>
      <c r="E1" s="9"/>
      <c r="F1" s="9"/>
      <c r="G1" s="10"/>
      <c r="H1" s="3" t="s">
        <v>15</v>
      </c>
      <c r="I1" s="8" t="s">
        <v>4</v>
      </c>
      <c r="J1" s="9"/>
      <c r="K1" s="9"/>
      <c r="L1" s="10"/>
      <c r="M1" s="3" t="s">
        <v>16</v>
      </c>
      <c r="N1" s="8" t="s">
        <v>5</v>
      </c>
      <c r="O1" s="9"/>
      <c r="P1" s="9"/>
      <c r="Q1" s="10"/>
      <c r="R1" s="6" t="s">
        <v>17</v>
      </c>
      <c r="S1" s="1" t="s">
        <v>6</v>
      </c>
      <c r="T1" s="1" t="s">
        <v>7</v>
      </c>
    </row>
    <row r="2" spans="1:20" x14ac:dyDescent="0.3">
      <c r="A2" s="2"/>
      <c r="B2" s="2"/>
      <c r="C2" s="2"/>
      <c r="D2" s="2">
        <v>5</v>
      </c>
      <c r="E2" s="2">
        <v>10</v>
      </c>
      <c r="F2" s="2">
        <v>15</v>
      </c>
      <c r="G2" s="2">
        <v>20</v>
      </c>
      <c r="H2" s="4"/>
      <c r="I2" s="2">
        <v>5</v>
      </c>
      <c r="J2" s="2">
        <v>10</v>
      </c>
      <c r="K2" s="2">
        <v>15</v>
      </c>
      <c r="L2" s="2">
        <v>20</v>
      </c>
      <c r="M2" s="4"/>
      <c r="N2" s="2">
        <v>5</v>
      </c>
      <c r="O2" s="2">
        <v>10</v>
      </c>
      <c r="P2" s="2">
        <v>15</v>
      </c>
      <c r="Q2" s="2">
        <v>20</v>
      </c>
      <c r="R2" s="4"/>
      <c r="S2" s="2"/>
      <c r="T2" s="2"/>
    </row>
    <row r="3" spans="1:20" x14ac:dyDescent="0.3">
      <c r="A3">
        <v>5</v>
      </c>
      <c r="B3" t="s">
        <v>8</v>
      </c>
      <c r="C3" t="s">
        <v>12</v>
      </c>
      <c r="D3">
        <v>0</v>
      </c>
      <c r="E3">
        <v>0</v>
      </c>
      <c r="F3">
        <v>0</v>
      </c>
      <c r="G3">
        <v>0</v>
      </c>
      <c r="H3" s="5">
        <f>AVERAGE(D3:G3)</f>
        <v>0</v>
      </c>
      <c r="I3">
        <v>0</v>
      </c>
      <c r="J3">
        <v>0</v>
      </c>
      <c r="K3">
        <v>0</v>
      </c>
      <c r="L3">
        <v>0</v>
      </c>
      <c r="M3" s="5">
        <f>AVERAGE(I3:L3)</f>
        <v>0</v>
      </c>
      <c r="N3">
        <v>1</v>
      </c>
      <c r="O3">
        <v>1</v>
      </c>
      <c r="P3">
        <v>1</v>
      </c>
      <c r="Q3">
        <v>1</v>
      </c>
      <c r="R3" s="5">
        <f>AVERAGE(N3:Q3)</f>
        <v>1</v>
      </c>
    </row>
    <row r="4" spans="1:20" x14ac:dyDescent="0.3">
      <c r="A4">
        <v>5</v>
      </c>
      <c r="B4" t="s">
        <v>9</v>
      </c>
      <c r="C4" t="s">
        <v>12</v>
      </c>
      <c r="D4">
        <v>0</v>
      </c>
      <c r="E4">
        <v>0</v>
      </c>
      <c r="F4">
        <v>0</v>
      </c>
      <c r="G4">
        <v>0</v>
      </c>
      <c r="H4" s="5">
        <f t="shared" ref="H4:H14" si="0">AVERAGE(D4:G4)</f>
        <v>0</v>
      </c>
      <c r="I4">
        <v>0</v>
      </c>
      <c r="J4">
        <v>0</v>
      </c>
      <c r="K4">
        <v>9.0293453724604961E-4</v>
      </c>
      <c r="L4">
        <v>1.805869074492099E-3</v>
      </c>
      <c r="M4" s="5">
        <f t="shared" ref="M4:M14" si="1">AVERAGE(I4:L4)</f>
        <v>6.7720090293453712E-4</v>
      </c>
      <c r="N4">
        <v>1</v>
      </c>
      <c r="O4">
        <v>1</v>
      </c>
      <c r="P4">
        <v>1</v>
      </c>
      <c r="Q4">
        <v>1</v>
      </c>
      <c r="R4" s="5">
        <f t="shared" ref="R4:R14" si="2">AVERAGE(N4:Q4)</f>
        <v>1</v>
      </c>
    </row>
    <row r="5" spans="1:20" x14ac:dyDescent="0.3">
      <c r="A5">
        <v>5</v>
      </c>
      <c r="B5" t="s">
        <v>10</v>
      </c>
      <c r="C5" t="s">
        <v>12</v>
      </c>
      <c r="D5">
        <v>0</v>
      </c>
      <c r="E5">
        <v>0</v>
      </c>
      <c r="F5">
        <v>0</v>
      </c>
      <c r="G5">
        <v>0</v>
      </c>
      <c r="H5" s="5">
        <f t="shared" si="0"/>
        <v>0</v>
      </c>
      <c r="I5">
        <v>1.85459940652819E-4</v>
      </c>
      <c r="J5">
        <v>1.85459940652819E-4</v>
      </c>
      <c r="K5">
        <v>1.85459940652819E-4</v>
      </c>
      <c r="L5">
        <v>0</v>
      </c>
      <c r="M5" s="5">
        <f t="shared" si="1"/>
        <v>1.3909495548961425E-4</v>
      </c>
      <c r="N5">
        <v>0.99999999999999911</v>
      </c>
      <c r="O5">
        <v>0.99999999999999911</v>
      </c>
      <c r="P5">
        <v>0.99999999999999911</v>
      </c>
      <c r="Q5">
        <v>1</v>
      </c>
      <c r="R5" s="5">
        <f t="shared" si="2"/>
        <v>0.99999999999999933</v>
      </c>
      <c r="S5">
        <v>0</v>
      </c>
      <c r="T5">
        <v>3.1149097676738333E-4</v>
      </c>
    </row>
    <row r="6" spans="1:20" x14ac:dyDescent="0.3">
      <c r="A6">
        <v>5</v>
      </c>
      <c r="B6" t="s">
        <v>11</v>
      </c>
      <c r="C6" t="s">
        <v>12</v>
      </c>
      <c r="D6">
        <v>0</v>
      </c>
      <c r="E6">
        <v>0</v>
      </c>
      <c r="F6">
        <v>0</v>
      </c>
      <c r="G6">
        <v>0</v>
      </c>
      <c r="H6" s="5">
        <f t="shared" si="0"/>
        <v>0</v>
      </c>
      <c r="I6">
        <v>0</v>
      </c>
      <c r="J6">
        <v>0</v>
      </c>
      <c r="K6">
        <v>1.85459940652819E-4</v>
      </c>
      <c r="L6">
        <v>1.85459940652819E-4</v>
      </c>
      <c r="M6" s="5">
        <f t="shared" si="1"/>
        <v>9.2729970326409499E-5</v>
      </c>
      <c r="N6">
        <v>1</v>
      </c>
      <c r="O6">
        <v>1</v>
      </c>
      <c r="P6">
        <v>0.99999999999999911</v>
      </c>
      <c r="Q6">
        <v>0.99999999999999911</v>
      </c>
      <c r="R6" s="5">
        <f t="shared" si="2"/>
        <v>0.99999999999999956</v>
      </c>
    </row>
    <row r="7" spans="1:20" x14ac:dyDescent="0.3">
      <c r="A7">
        <v>5</v>
      </c>
      <c r="B7" t="s">
        <v>8</v>
      </c>
      <c r="C7" t="s">
        <v>13</v>
      </c>
      <c r="D7" s="7">
        <v>441943.77344497858</v>
      </c>
      <c r="E7" s="7">
        <v>576838.07097249967</v>
      </c>
      <c r="F7" s="7">
        <v>481734.39237713261</v>
      </c>
      <c r="G7" s="7">
        <v>1456705.5722901861</v>
      </c>
      <c r="H7" s="5">
        <f t="shared" si="0"/>
        <v>739305.4522711992</v>
      </c>
      <c r="I7">
        <v>0.11726546906187631</v>
      </c>
      <c r="J7">
        <v>0.15943113772455089</v>
      </c>
      <c r="K7">
        <v>0.17265469061876251</v>
      </c>
      <c r="L7">
        <v>0.19885229540918159</v>
      </c>
      <c r="M7" s="5">
        <f t="shared" si="1"/>
        <v>0.16205089820359284</v>
      </c>
      <c r="N7">
        <v>5.7774806773073413E-23</v>
      </c>
      <c r="O7">
        <v>4.5661097788154749E-41</v>
      </c>
      <c r="P7">
        <v>1.043869404792274E-47</v>
      </c>
      <c r="Q7">
        <v>3.9064029321739754E-62</v>
      </c>
      <c r="R7" s="5">
        <f t="shared" si="2"/>
        <v>1.4443701693268353E-23</v>
      </c>
    </row>
    <row r="8" spans="1:20" x14ac:dyDescent="0.3">
      <c r="A8">
        <v>5</v>
      </c>
      <c r="B8" t="s">
        <v>9</v>
      </c>
      <c r="C8" t="s">
        <v>13</v>
      </c>
      <c r="D8" s="7">
        <v>146858.0813393452</v>
      </c>
      <c r="E8" s="7">
        <v>345738.23791215249</v>
      </c>
      <c r="F8" s="7">
        <v>268729.28740122193</v>
      </c>
      <c r="G8" s="7">
        <v>575442.39566855389</v>
      </c>
      <c r="H8" s="5">
        <f t="shared" si="0"/>
        <v>334192.00058031839</v>
      </c>
      <c r="I8">
        <v>0.1065462753950339</v>
      </c>
      <c r="J8">
        <v>0.14808126410835221</v>
      </c>
      <c r="K8">
        <v>0.19954853273137699</v>
      </c>
      <c r="L8">
        <v>0.2144469525959368</v>
      </c>
      <c r="M8" s="5">
        <f t="shared" si="1"/>
        <v>0.16715575620767498</v>
      </c>
      <c r="N8">
        <v>8.644968154707986E-11</v>
      </c>
      <c r="O8">
        <v>5.8776381554519502E-20</v>
      </c>
      <c r="P8">
        <v>8.7672106986156133E-35</v>
      </c>
      <c r="Q8">
        <v>1.000471331350027E-39</v>
      </c>
      <c r="R8" s="5">
        <f t="shared" si="2"/>
        <v>2.161242040146406E-11</v>
      </c>
    </row>
    <row r="9" spans="1:20" x14ac:dyDescent="0.3">
      <c r="A9">
        <v>5</v>
      </c>
      <c r="B9" t="s">
        <v>10</v>
      </c>
      <c r="C9" t="s">
        <v>13</v>
      </c>
      <c r="D9" s="7">
        <v>31.97128308654472</v>
      </c>
      <c r="E9" s="7">
        <v>34.649716988017147</v>
      </c>
      <c r="F9" s="7">
        <v>57.785249738168197</v>
      </c>
      <c r="G9" s="7">
        <v>78.006747118402416</v>
      </c>
      <c r="H9" s="5">
        <f t="shared" si="0"/>
        <v>50.603249232783121</v>
      </c>
      <c r="I9">
        <v>0.24462166172106831</v>
      </c>
      <c r="J9">
        <v>0.23089762611275971</v>
      </c>
      <c r="K9">
        <v>0.21865727002967361</v>
      </c>
      <c r="L9">
        <v>0.20456231454005941</v>
      </c>
      <c r="M9" s="5">
        <f t="shared" si="1"/>
        <v>0.22468471810089025</v>
      </c>
      <c r="N9">
        <v>1.351732889170534E-117</v>
      </c>
      <c r="O9">
        <v>1.607152179938455E-101</v>
      </c>
      <c r="P9">
        <v>6.6855332120969866E-88</v>
      </c>
      <c r="Q9">
        <v>3.8353683018977166E-74</v>
      </c>
      <c r="R9" s="5">
        <f t="shared" si="2"/>
        <v>9.5884207547444585E-75</v>
      </c>
    </row>
    <row r="10" spans="1:20" x14ac:dyDescent="0.3">
      <c r="A10">
        <v>5</v>
      </c>
      <c r="B10" t="s">
        <v>11</v>
      </c>
      <c r="C10" t="s">
        <v>13</v>
      </c>
      <c r="D10" s="7">
        <v>12.168579283163149</v>
      </c>
      <c r="E10" s="7">
        <v>17.132661287172429</v>
      </c>
      <c r="F10" s="7">
        <v>31.659282204675989</v>
      </c>
      <c r="G10" s="7">
        <v>44.364042385729952</v>
      </c>
      <c r="H10" s="5">
        <f t="shared" si="0"/>
        <v>26.331141290185379</v>
      </c>
      <c r="I10">
        <v>0.2498145400593472</v>
      </c>
      <c r="J10">
        <v>0.2392433234421365</v>
      </c>
      <c r="K10">
        <v>0.22292284866468839</v>
      </c>
      <c r="L10">
        <v>0.2097551928783383</v>
      </c>
      <c r="M10" s="5">
        <f t="shared" si="1"/>
        <v>0.2304339762611276</v>
      </c>
      <c r="N10">
        <v>3.6871616128815049E-122</v>
      </c>
      <c r="O10">
        <v>2.8431459537767139E-108</v>
      </c>
      <c r="P10">
        <v>5.9970396464474274E-91</v>
      </c>
      <c r="Q10">
        <v>1.1742329335089581E-77</v>
      </c>
      <c r="R10" s="5">
        <f t="shared" si="2"/>
        <v>2.9355823337725453E-78</v>
      </c>
    </row>
    <row r="11" spans="1:20" x14ac:dyDescent="0.3">
      <c r="A11">
        <v>5</v>
      </c>
      <c r="B11" t="s">
        <v>8</v>
      </c>
      <c r="C11" t="s">
        <v>14</v>
      </c>
      <c r="D11" s="7">
        <v>381948.68674408592</v>
      </c>
      <c r="E11" s="7">
        <v>207975.18847089709</v>
      </c>
      <c r="F11" s="7">
        <v>140141.77058946001</v>
      </c>
      <c r="G11" s="7">
        <v>221873.3563002478</v>
      </c>
      <c r="H11" s="5">
        <f t="shared" si="0"/>
        <v>237984.75052617272</v>
      </c>
      <c r="I11">
        <v>4.8993620324363087E-2</v>
      </c>
      <c r="J11">
        <v>4.0408151388318707E-2</v>
      </c>
      <c r="K11">
        <v>3.5260690898444517E-2</v>
      </c>
      <c r="L11">
        <v>3.4449483386168843E-2</v>
      </c>
      <c r="M11" s="5">
        <f t="shared" si="1"/>
        <v>3.9777986499323792E-2</v>
      </c>
      <c r="N11">
        <v>1.6204261392972161E-4</v>
      </c>
      <c r="O11">
        <v>3.2767956713791861E-3</v>
      </c>
      <c r="P11">
        <v>1.5035678402546779E-2</v>
      </c>
      <c r="Q11">
        <v>1.8805236728951721E-2</v>
      </c>
      <c r="R11" s="5">
        <f t="shared" si="2"/>
        <v>9.3199383542018517E-3</v>
      </c>
    </row>
    <row r="12" spans="1:20" x14ac:dyDescent="0.3">
      <c r="A12">
        <v>5</v>
      </c>
      <c r="B12" t="s">
        <v>9</v>
      </c>
      <c r="C12" t="s">
        <v>14</v>
      </c>
      <c r="D12" s="7">
        <v>118344.5065935704</v>
      </c>
      <c r="E12" s="7">
        <v>109272.8972328026</v>
      </c>
      <c r="F12" s="7">
        <v>53577.093078740727</v>
      </c>
      <c r="G12" s="7">
        <v>76213.213935638196</v>
      </c>
      <c r="H12" s="5">
        <f t="shared" si="0"/>
        <v>89351.927710187971</v>
      </c>
      <c r="I12">
        <v>4.7284973693019421E-2</v>
      </c>
      <c r="J12">
        <v>4.2582195554355072E-2</v>
      </c>
      <c r="K12">
        <v>3.8662892995390913E-2</v>
      </c>
      <c r="L12">
        <v>3.8126689518713598E-2</v>
      </c>
      <c r="M12" s="5">
        <f t="shared" si="1"/>
        <v>4.1664187940369753E-2</v>
      </c>
      <c r="N12">
        <v>1.5356897764467759E-2</v>
      </c>
      <c r="O12">
        <v>3.8335979853203139E-2</v>
      </c>
      <c r="P12">
        <v>7.6655761610591136E-2</v>
      </c>
      <c r="Q12">
        <v>8.3687954478035592E-2</v>
      </c>
      <c r="R12" s="5">
        <f t="shared" si="2"/>
        <v>5.3509148426574407E-2</v>
      </c>
    </row>
    <row r="13" spans="1:20" x14ac:dyDescent="0.3">
      <c r="A13">
        <v>5</v>
      </c>
      <c r="B13" t="s">
        <v>10</v>
      </c>
      <c r="C13" t="s">
        <v>14</v>
      </c>
      <c r="D13" s="7">
        <v>26.120374203118899</v>
      </c>
      <c r="E13" s="7">
        <v>10.640034311771201</v>
      </c>
      <c r="F13" s="7">
        <v>4.3335943024489723</v>
      </c>
      <c r="G13" s="7">
        <v>5.5128084579288839</v>
      </c>
      <c r="H13" s="5">
        <f t="shared" si="0"/>
        <v>11.65170281881699</v>
      </c>
      <c r="I13">
        <v>4.9869247664717967E-2</v>
      </c>
      <c r="J13">
        <v>4.7053888097773382E-2</v>
      </c>
      <c r="K13">
        <v>1.28409279405925E-2</v>
      </c>
      <c r="L13">
        <v>1.7323658888614809E-2</v>
      </c>
      <c r="M13" s="5">
        <f t="shared" si="1"/>
        <v>3.1771930647924662E-2</v>
      </c>
      <c r="N13">
        <v>4.0233609591991068E-6</v>
      </c>
      <c r="O13">
        <v>1.695570218467137E-5</v>
      </c>
      <c r="P13">
        <v>0.76229447845769227</v>
      </c>
      <c r="Q13">
        <v>0.39508591570107171</v>
      </c>
      <c r="R13" s="5">
        <f t="shared" si="2"/>
        <v>0.28935034330547699</v>
      </c>
    </row>
    <row r="14" spans="1:20" x14ac:dyDescent="0.3">
      <c r="A14">
        <v>5</v>
      </c>
      <c r="B14" t="s">
        <v>11</v>
      </c>
      <c r="C14" t="s">
        <v>14</v>
      </c>
      <c r="D14" s="7">
        <v>7.2992338452529788</v>
      </c>
      <c r="E14" s="7">
        <v>4.3749273023757764</v>
      </c>
      <c r="F14" s="7">
        <v>3.844704312253945</v>
      </c>
      <c r="G14" s="7">
        <v>3.0362584707845599</v>
      </c>
      <c r="H14" s="5">
        <f t="shared" si="0"/>
        <v>4.6387809826668152</v>
      </c>
      <c r="I14">
        <v>4.988872403560831E-2</v>
      </c>
      <c r="J14">
        <v>4.7103639821448842E-2</v>
      </c>
      <c r="K14">
        <v>4.4794984572282023E-2</v>
      </c>
      <c r="L14">
        <v>1.6806240145015701E-2</v>
      </c>
      <c r="M14" s="5">
        <f t="shared" si="1"/>
        <v>3.9648397143588712E-2</v>
      </c>
      <c r="N14">
        <v>3.9878416984139709E-6</v>
      </c>
      <c r="O14">
        <v>1.6503685382406582E-5</v>
      </c>
      <c r="P14">
        <v>5.0568284350299913E-5</v>
      </c>
      <c r="Q14">
        <v>0.43305275190848791</v>
      </c>
      <c r="R14" s="5">
        <f t="shared" si="2"/>
        <v>0.10828095292997976</v>
      </c>
    </row>
    <row r="15" spans="1:20" x14ac:dyDescent="0.3">
      <c r="A15">
        <v>10</v>
      </c>
      <c r="B15" t="s">
        <v>8</v>
      </c>
      <c r="C15" t="s">
        <v>12</v>
      </c>
    </row>
    <row r="16" spans="1:20" x14ac:dyDescent="0.3">
      <c r="A16">
        <v>10</v>
      </c>
      <c r="B16" t="s">
        <v>9</v>
      </c>
      <c r="C16" t="s">
        <v>12</v>
      </c>
    </row>
    <row r="17" spans="1:20" x14ac:dyDescent="0.3">
      <c r="A17">
        <v>10</v>
      </c>
      <c r="B17" t="s">
        <v>10</v>
      </c>
      <c r="C17" t="s">
        <v>12</v>
      </c>
      <c r="S17">
        <v>396</v>
      </c>
      <c r="T17">
        <v>0.28575063037302428</v>
      </c>
    </row>
    <row r="18" spans="1:20" x14ac:dyDescent="0.3">
      <c r="A18">
        <v>10</v>
      </c>
      <c r="B18" t="s">
        <v>11</v>
      </c>
      <c r="C18" t="s">
        <v>12</v>
      </c>
    </row>
    <row r="19" spans="1:20" x14ac:dyDescent="0.3">
      <c r="A19">
        <v>10</v>
      </c>
      <c r="B19" t="s">
        <v>8</v>
      </c>
      <c r="C19" t="s">
        <v>13</v>
      </c>
    </row>
    <row r="20" spans="1:20" x14ac:dyDescent="0.3">
      <c r="A20">
        <v>10</v>
      </c>
      <c r="B20" t="s">
        <v>9</v>
      </c>
      <c r="C20" t="s">
        <v>13</v>
      </c>
    </row>
    <row r="21" spans="1:20" x14ac:dyDescent="0.3">
      <c r="A21">
        <v>10</v>
      </c>
      <c r="B21" t="s">
        <v>10</v>
      </c>
      <c r="C21" t="s">
        <v>13</v>
      </c>
    </row>
    <row r="22" spans="1:20" x14ac:dyDescent="0.3">
      <c r="A22">
        <v>10</v>
      </c>
      <c r="B22" t="s">
        <v>11</v>
      </c>
      <c r="C22" t="s">
        <v>13</v>
      </c>
    </row>
    <row r="23" spans="1:20" x14ac:dyDescent="0.3">
      <c r="A23">
        <v>10</v>
      </c>
      <c r="B23" t="s">
        <v>8</v>
      </c>
      <c r="C23" t="s">
        <v>14</v>
      </c>
    </row>
    <row r="24" spans="1:20" x14ac:dyDescent="0.3">
      <c r="A24">
        <v>10</v>
      </c>
      <c r="B24" t="s">
        <v>9</v>
      </c>
      <c r="C24" t="s">
        <v>14</v>
      </c>
    </row>
    <row r="25" spans="1:20" x14ac:dyDescent="0.3">
      <c r="A25">
        <v>10</v>
      </c>
      <c r="B25" t="s">
        <v>10</v>
      </c>
      <c r="C25" t="s">
        <v>14</v>
      </c>
    </row>
    <row r="26" spans="1:20" x14ac:dyDescent="0.3">
      <c r="A26">
        <v>10</v>
      </c>
      <c r="B26" t="s">
        <v>11</v>
      </c>
      <c r="C26" t="s">
        <v>14</v>
      </c>
    </row>
    <row r="27" spans="1:20" x14ac:dyDescent="0.3">
      <c r="A27">
        <v>15</v>
      </c>
      <c r="B27" t="s">
        <v>8</v>
      </c>
      <c r="C27" t="s">
        <v>12</v>
      </c>
    </row>
    <row r="28" spans="1:20" x14ac:dyDescent="0.3">
      <c r="A28">
        <v>15</v>
      </c>
      <c r="B28" t="s">
        <v>9</v>
      </c>
      <c r="C28" t="s">
        <v>12</v>
      </c>
      <c r="S28">
        <v>0</v>
      </c>
      <c r="T28">
        <v>1.1812924646610641E-9</v>
      </c>
    </row>
    <row r="29" spans="1:20" x14ac:dyDescent="0.3">
      <c r="A29">
        <v>15</v>
      </c>
      <c r="B29" t="s">
        <v>10</v>
      </c>
      <c r="C29" t="s">
        <v>12</v>
      </c>
      <c r="S29">
        <v>0</v>
      </c>
      <c r="T29">
        <v>3.2970532689972869E-9</v>
      </c>
    </row>
    <row r="30" spans="1:20" x14ac:dyDescent="0.3">
      <c r="A30">
        <v>15</v>
      </c>
      <c r="B30" t="s">
        <v>11</v>
      </c>
      <c r="C30" t="s">
        <v>12</v>
      </c>
      <c r="S30">
        <v>0</v>
      </c>
      <c r="T30">
        <v>4.2380554260794428E-10</v>
      </c>
    </row>
    <row r="31" spans="1:20" x14ac:dyDescent="0.3">
      <c r="A31">
        <v>15</v>
      </c>
      <c r="B31" t="s">
        <v>8</v>
      </c>
      <c r="C31" t="s">
        <v>13</v>
      </c>
    </row>
    <row r="32" spans="1:20" x14ac:dyDescent="0.3">
      <c r="A32">
        <v>15</v>
      </c>
      <c r="B32" t="s">
        <v>9</v>
      </c>
      <c r="C32" t="s">
        <v>13</v>
      </c>
    </row>
    <row r="33" spans="1:20" x14ac:dyDescent="0.3">
      <c r="A33">
        <v>15</v>
      </c>
      <c r="B33" t="s">
        <v>10</v>
      </c>
      <c r="C33" t="s">
        <v>13</v>
      </c>
    </row>
    <row r="34" spans="1:20" x14ac:dyDescent="0.3">
      <c r="A34">
        <v>15</v>
      </c>
      <c r="B34" t="s">
        <v>11</v>
      </c>
      <c r="C34" t="s">
        <v>13</v>
      </c>
    </row>
    <row r="35" spans="1:20" x14ac:dyDescent="0.3">
      <c r="A35">
        <v>15</v>
      </c>
      <c r="B35" t="s">
        <v>8</v>
      </c>
      <c r="C35" t="s">
        <v>14</v>
      </c>
    </row>
    <row r="36" spans="1:20" x14ac:dyDescent="0.3">
      <c r="A36">
        <v>15</v>
      </c>
      <c r="B36" t="s">
        <v>9</v>
      </c>
      <c r="C36" t="s">
        <v>14</v>
      </c>
    </row>
    <row r="37" spans="1:20" x14ac:dyDescent="0.3">
      <c r="A37">
        <v>15</v>
      </c>
      <c r="B37" t="s">
        <v>10</v>
      </c>
      <c r="C37" t="s">
        <v>14</v>
      </c>
    </row>
    <row r="38" spans="1:20" x14ac:dyDescent="0.3">
      <c r="A38">
        <v>15</v>
      </c>
      <c r="B38" t="s">
        <v>11</v>
      </c>
      <c r="C38" t="s">
        <v>14</v>
      </c>
    </row>
    <row r="39" spans="1:20" x14ac:dyDescent="0.3">
      <c r="A39">
        <v>20</v>
      </c>
      <c r="B39" t="s">
        <v>8</v>
      </c>
      <c r="C39" t="s">
        <v>12</v>
      </c>
    </row>
    <row r="40" spans="1:20" x14ac:dyDescent="0.3">
      <c r="A40">
        <v>20</v>
      </c>
      <c r="B40" t="s">
        <v>9</v>
      </c>
      <c r="C40" t="s">
        <v>12</v>
      </c>
      <c r="S40">
        <v>0</v>
      </c>
      <c r="T40">
        <v>5.2294340027904848E-22</v>
      </c>
    </row>
    <row r="41" spans="1:20" x14ac:dyDescent="0.3">
      <c r="A41">
        <v>20</v>
      </c>
      <c r="B41" t="s">
        <v>10</v>
      </c>
      <c r="C41" t="s">
        <v>12</v>
      </c>
    </row>
    <row r="42" spans="1:20" x14ac:dyDescent="0.3">
      <c r="A42">
        <v>20</v>
      </c>
      <c r="B42" t="s">
        <v>11</v>
      </c>
      <c r="C42" t="s">
        <v>12</v>
      </c>
      <c r="S42">
        <v>0</v>
      </c>
      <c r="T42">
        <v>1.522292196256305E-10</v>
      </c>
    </row>
    <row r="43" spans="1:20" x14ac:dyDescent="0.3">
      <c r="A43">
        <v>20</v>
      </c>
      <c r="B43" t="s">
        <v>8</v>
      </c>
      <c r="C43" t="s">
        <v>13</v>
      </c>
    </row>
    <row r="44" spans="1:20" x14ac:dyDescent="0.3">
      <c r="A44">
        <v>20</v>
      </c>
      <c r="B44" t="s">
        <v>9</v>
      </c>
      <c r="C44" t="s">
        <v>13</v>
      </c>
    </row>
    <row r="45" spans="1:20" x14ac:dyDescent="0.3">
      <c r="A45">
        <v>20</v>
      </c>
      <c r="B45" t="s">
        <v>10</v>
      </c>
      <c r="C45" t="s">
        <v>13</v>
      </c>
    </row>
    <row r="46" spans="1:20" x14ac:dyDescent="0.3">
      <c r="A46">
        <v>20</v>
      </c>
      <c r="B46" t="s">
        <v>11</v>
      </c>
      <c r="C46" t="s">
        <v>13</v>
      </c>
    </row>
    <row r="47" spans="1:20" x14ac:dyDescent="0.3">
      <c r="A47">
        <v>20</v>
      </c>
      <c r="B47" t="s">
        <v>8</v>
      </c>
      <c r="C47" t="s">
        <v>14</v>
      </c>
    </row>
    <row r="48" spans="1:20" x14ac:dyDescent="0.3">
      <c r="A48">
        <v>20</v>
      </c>
      <c r="B48" t="s">
        <v>9</v>
      </c>
      <c r="C48" t="s">
        <v>14</v>
      </c>
    </row>
    <row r="49" spans="1:3" x14ac:dyDescent="0.3">
      <c r="A49">
        <v>20</v>
      </c>
      <c r="B49" t="s">
        <v>10</v>
      </c>
      <c r="C49" t="s">
        <v>14</v>
      </c>
    </row>
    <row r="50" spans="1:3" x14ac:dyDescent="0.3">
      <c r="A50">
        <v>20</v>
      </c>
      <c r="B50" t="s">
        <v>11</v>
      </c>
      <c r="C50" t="s">
        <v>14</v>
      </c>
    </row>
  </sheetData>
  <mergeCells count="3">
    <mergeCell ref="D1:G1"/>
    <mergeCell ref="N1:Q1"/>
    <mergeCell ref="I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C2AF-B2C4-425E-A07E-6388878F294F}">
  <dimension ref="A1:T50"/>
  <sheetViews>
    <sheetView tabSelected="1" workbookViewId="0">
      <selection activeCell="K9" sqref="K9"/>
    </sheetView>
  </sheetViews>
  <sheetFormatPr baseColWidth="10" defaultColWidth="12" defaultRowHeight="14.4" x14ac:dyDescent="0.3"/>
  <cols>
    <col min="1" max="1" width="5.33203125" customWidth="1"/>
    <col min="8" max="8" width="12" style="5"/>
    <col min="13" max="13" width="12" style="5"/>
    <col min="18" max="18" width="12" style="5"/>
  </cols>
  <sheetData>
    <row r="1" spans="1:20" x14ac:dyDescent="0.3">
      <c r="A1" s="1" t="s">
        <v>0</v>
      </c>
      <c r="B1" s="1" t="s">
        <v>1</v>
      </c>
      <c r="C1" s="1" t="s">
        <v>2</v>
      </c>
      <c r="D1" s="8" t="s">
        <v>3</v>
      </c>
      <c r="E1" s="9"/>
      <c r="F1" s="9"/>
      <c r="G1" s="10"/>
      <c r="H1" s="3" t="s">
        <v>15</v>
      </c>
      <c r="I1" s="8" t="s">
        <v>4</v>
      </c>
      <c r="J1" s="9"/>
      <c r="K1" s="9"/>
      <c r="L1" s="10"/>
      <c r="M1" s="3" t="s">
        <v>16</v>
      </c>
      <c r="N1" s="8" t="s">
        <v>5</v>
      </c>
      <c r="O1" s="9"/>
      <c r="P1" s="9"/>
      <c r="Q1" s="10"/>
      <c r="R1" s="6" t="s">
        <v>17</v>
      </c>
      <c r="S1" s="1" t="s">
        <v>6</v>
      </c>
      <c r="T1" s="1" t="s">
        <v>7</v>
      </c>
    </row>
    <row r="2" spans="1:20" x14ac:dyDescent="0.3">
      <c r="A2" s="2"/>
      <c r="B2" s="2"/>
      <c r="C2" s="2"/>
      <c r="D2" s="2">
        <v>5</v>
      </c>
      <c r="E2" s="2">
        <v>10</v>
      </c>
      <c r="F2" s="2">
        <v>15</v>
      </c>
      <c r="G2" s="2">
        <v>20</v>
      </c>
      <c r="H2" s="4"/>
      <c r="I2" s="2">
        <v>5</v>
      </c>
      <c r="J2" s="2">
        <v>10</v>
      </c>
      <c r="K2" s="2">
        <v>15</v>
      </c>
      <c r="L2" s="2">
        <v>20</v>
      </c>
      <c r="M2" s="4"/>
      <c r="N2" s="2">
        <v>5</v>
      </c>
      <c r="O2" s="2">
        <v>10</v>
      </c>
      <c r="P2" s="2">
        <v>15</v>
      </c>
      <c r="Q2" s="2">
        <v>20</v>
      </c>
      <c r="R2" s="4"/>
      <c r="S2" s="2"/>
      <c r="T2" s="2"/>
    </row>
    <row r="3" spans="1:20" x14ac:dyDescent="0.3">
      <c r="A3">
        <v>5</v>
      </c>
      <c r="B3" t="s">
        <v>8</v>
      </c>
      <c r="C3" t="s">
        <v>12</v>
      </c>
      <c r="D3">
        <v>0</v>
      </c>
      <c r="E3">
        <v>0</v>
      </c>
      <c r="F3">
        <v>0</v>
      </c>
      <c r="G3">
        <v>0</v>
      </c>
      <c r="H3" s="5">
        <f>AVERAGE(D3:G3)</f>
        <v>0</v>
      </c>
      <c r="I3">
        <v>0</v>
      </c>
      <c r="J3">
        <v>0</v>
      </c>
      <c r="K3">
        <v>0</v>
      </c>
      <c r="L3">
        <v>0</v>
      </c>
      <c r="M3" s="5">
        <f>AVERAGE(I3:L3)</f>
        <v>0</v>
      </c>
      <c r="N3">
        <v>1</v>
      </c>
      <c r="O3">
        <v>1</v>
      </c>
      <c r="P3">
        <v>1</v>
      </c>
      <c r="Q3">
        <v>1</v>
      </c>
      <c r="R3" s="5">
        <f>AVERAGE(N3:Q3)</f>
        <v>1</v>
      </c>
    </row>
    <row r="4" spans="1:20" x14ac:dyDescent="0.3">
      <c r="A4">
        <v>5</v>
      </c>
      <c r="B4" t="s">
        <v>9</v>
      </c>
      <c r="C4" t="s">
        <v>12</v>
      </c>
      <c r="D4">
        <v>0</v>
      </c>
      <c r="E4">
        <v>0</v>
      </c>
      <c r="F4">
        <v>0</v>
      </c>
      <c r="G4">
        <v>0</v>
      </c>
      <c r="H4" s="5">
        <f t="shared" ref="H4:H14" si="0">AVERAGE(D4:G4)</f>
        <v>0</v>
      </c>
      <c r="I4">
        <v>0</v>
      </c>
      <c r="J4">
        <v>0</v>
      </c>
      <c r="K4">
        <v>9.0293453724604961E-4</v>
      </c>
      <c r="L4">
        <v>1.805869074492099E-3</v>
      </c>
      <c r="M4" s="5">
        <f t="shared" ref="M4:M14" si="1">AVERAGE(I4:L4)</f>
        <v>6.7720090293453712E-4</v>
      </c>
      <c r="N4">
        <v>1</v>
      </c>
      <c r="O4">
        <v>1</v>
      </c>
      <c r="P4">
        <v>1</v>
      </c>
      <c r="Q4">
        <v>1</v>
      </c>
      <c r="R4" s="5">
        <f t="shared" ref="R4:R14" si="2">AVERAGE(N4:Q4)</f>
        <v>1</v>
      </c>
    </row>
    <row r="5" spans="1:20" x14ac:dyDescent="0.3">
      <c r="A5">
        <v>5</v>
      </c>
      <c r="B5" t="s">
        <v>10</v>
      </c>
      <c r="C5" t="s">
        <v>12</v>
      </c>
      <c r="D5">
        <v>0</v>
      </c>
      <c r="E5">
        <v>0</v>
      </c>
      <c r="F5">
        <v>0</v>
      </c>
      <c r="G5">
        <v>0</v>
      </c>
      <c r="H5" s="5">
        <f t="shared" si="0"/>
        <v>0</v>
      </c>
      <c r="I5">
        <v>1.85459940652819E-4</v>
      </c>
      <c r="J5">
        <v>1.85459940652819E-4</v>
      </c>
      <c r="K5">
        <v>1.85459940652819E-4</v>
      </c>
      <c r="L5">
        <v>0</v>
      </c>
      <c r="M5" s="5">
        <f t="shared" si="1"/>
        <v>1.3909495548961425E-4</v>
      </c>
      <c r="N5">
        <v>0.99999999999999911</v>
      </c>
      <c r="O5">
        <v>0.99999999999999911</v>
      </c>
      <c r="P5">
        <v>0.99999999999999911</v>
      </c>
      <c r="Q5">
        <v>1</v>
      </c>
      <c r="R5" s="5">
        <f t="shared" si="2"/>
        <v>0.99999999999999933</v>
      </c>
      <c r="S5">
        <v>0</v>
      </c>
      <c r="T5">
        <v>3.1149097676738333E-4</v>
      </c>
    </row>
    <row r="6" spans="1:20" x14ac:dyDescent="0.3">
      <c r="A6">
        <v>5</v>
      </c>
      <c r="B6" t="s">
        <v>11</v>
      </c>
      <c r="C6" t="s">
        <v>12</v>
      </c>
      <c r="D6">
        <v>0</v>
      </c>
      <c r="E6">
        <v>0</v>
      </c>
      <c r="F6">
        <v>0</v>
      </c>
      <c r="G6">
        <v>0</v>
      </c>
      <c r="H6" s="5">
        <f t="shared" si="0"/>
        <v>0</v>
      </c>
      <c r="I6">
        <v>0</v>
      </c>
      <c r="J6">
        <v>0</v>
      </c>
      <c r="K6">
        <v>1.85459940652819E-4</v>
      </c>
      <c r="L6">
        <v>1.85459940652819E-4</v>
      </c>
      <c r="M6" s="5">
        <f t="shared" si="1"/>
        <v>9.2729970326409499E-5</v>
      </c>
      <c r="N6">
        <v>1</v>
      </c>
      <c r="O6">
        <v>1</v>
      </c>
      <c r="P6">
        <v>0.99999999999999911</v>
      </c>
      <c r="Q6">
        <v>0.99999999999999911</v>
      </c>
      <c r="R6" s="5">
        <f t="shared" si="2"/>
        <v>0.99999999999999956</v>
      </c>
    </row>
    <row r="7" spans="1:20" x14ac:dyDescent="0.3">
      <c r="A7">
        <v>5</v>
      </c>
      <c r="B7" t="s">
        <v>8</v>
      </c>
      <c r="C7" t="s">
        <v>13</v>
      </c>
      <c r="D7" s="7">
        <v>441943.77344497858</v>
      </c>
      <c r="E7" s="7">
        <v>576838.07097249967</v>
      </c>
      <c r="F7" s="7">
        <v>481734.39237713261</v>
      </c>
      <c r="G7" s="7">
        <v>1456705.5722901861</v>
      </c>
      <c r="H7" s="5">
        <f t="shared" si="0"/>
        <v>739305.4522711992</v>
      </c>
      <c r="I7">
        <v>0.11726546906187631</v>
      </c>
      <c r="J7">
        <v>0.15943113772455089</v>
      </c>
      <c r="K7">
        <v>0.17265469061876251</v>
      </c>
      <c r="L7">
        <v>0.19885229540918159</v>
      </c>
      <c r="M7" s="5">
        <f t="shared" si="1"/>
        <v>0.16205089820359284</v>
      </c>
      <c r="N7">
        <v>5.7774806773073413E-23</v>
      </c>
      <c r="O7">
        <v>4.5661097788154749E-41</v>
      </c>
      <c r="P7">
        <v>1.043869404792274E-47</v>
      </c>
      <c r="Q7">
        <v>3.9064029321739754E-62</v>
      </c>
      <c r="R7" s="5">
        <f t="shared" si="2"/>
        <v>1.4443701693268353E-23</v>
      </c>
    </row>
    <row r="8" spans="1:20" x14ac:dyDescent="0.3">
      <c r="A8">
        <v>5</v>
      </c>
      <c r="B8" t="s">
        <v>9</v>
      </c>
      <c r="C8" t="s">
        <v>13</v>
      </c>
      <c r="D8" s="7">
        <v>146858.0813393452</v>
      </c>
      <c r="E8" s="7">
        <v>345738.23791215249</v>
      </c>
      <c r="F8" s="7">
        <v>268729.28740122193</v>
      </c>
      <c r="G8" s="7">
        <v>575442.39566855389</v>
      </c>
      <c r="H8" s="5">
        <f t="shared" si="0"/>
        <v>334192.00058031839</v>
      </c>
      <c r="I8">
        <v>0.1065462753950339</v>
      </c>
      <c r="J8">
        <v>0.14808126410835221</v>
      </c>
      <c r="K8">
        <v>0.19954853273137699</v>
      </c>
      <c r="L8">
        <v>0.2144469525959368</v>
      </c>
      <c r="M8" s="5">
        <f t="shared" si="1"/>
        <v>0.16715575620767498</v>
      </c>
      <c r="N8">
        <v>8.644968154707986E-11</v>
      </c>
      <c r="O8">
        <v>5.8776381554519502E-20</v>
      </c>
      <c r="P8">
        <v>8.7672106986156133E-35</v>
      </c>
      <c r="Q8">
        <v>1.000471331350027E-39</v>
      </c>
      <c r="R8" s="5">
        <f t="shared" si="2"/>
        <v>2.161242040146406E-11</v>
      </c>
    </row>
    <row r="9" spans="1:20" x14ac:dyDescent="0.3">
      <c r="A9">
        <v>5</v>
      </c>
      <c r="B9" t="s">
        <v>10</v>
      </c>
      <c r="C9" t="s">
        <v>13</v>
      </c>
      <c r="D9" s="7">
        <v>31.97128308654472</v>
      </c>
      <c r="E9" s="7">
        <v>34.649716988017147</v>
      </c>
      <c r="F9" s="7">
        <v>57.785249738168197</v>
      </c>
      <c r="G9" s="7">
        <v>78.006747118402416</v>
      </c>
      <c r="H9" s="5">
        <f t="shared" si="0"/>
        <v>50.603249232783121</v>
      </c>
      <c r="I9">
        <v>0.24462166172106831</v>
      </c>
      <c r="J9">
        <v>0.23089762611275971</v>
      </c>
      <c r="K9">
        <v>0.21865727002967361</v>
      </c>
      <c r="L9">
        <v>0.20456231454005941</v>
      </c>
      <c r="M9" s="5">
        <f t="shared" si="1"/>
        <v>0.22468471810089025</v>
      </c>
      <c r="N9">
        <v>1.351732889170534E-117</v>
      </c>
      <c r="O9">
        <v>1.607152179938455E-101</v>
      </c>
      <c r="P9">
        <v>6.6855332120969866E-88</v>
      </c>
      <c r="Q9">
        <v>3.8353683018977166E-74</v>
      </c>
      <c r="R9" s="5">
        <f t="shared" si="2"/>
        <v>9.5884207547444585E-75</v>
      </c>
    </row>
    <row r="10" spans="1:20" x14ac:dyDescent="0.3">
      <c r="A10">
        <v>5</v>
      </c>
      <c r="B10" t="s">
        <v>11</v>
      </c>
      <c r="C10" t="s">
        <v>13</v>
      </c>
      <c r="D10" s="7">
        <v>12.168579283163149</v>
      </c>
      <c r="E10" s="7">
        <v>17.132661287172429</v>
      </c>
      <c r="F10" s="7">
        <v>31.659282204675989</v>
      </c>
      <c r="G10" s="7">
        <v>44.364042385729952</v>
      </c>
      <c r="H10" s="5">
        <f t="shared" si="0"/>
        <v>26.331141290185379</v>
      </c>
      <c r="I10">
        <v>0.2498145400593472</v>
      </c>
      <c r="J10">
        <v>0.2392433234421365</v>
      </c>
      <c r="K10">
        <v>0.22292284866468839</v>
      </c>
      <c r="L10">
        <v>0.2097551928783383</v>
      </c>
      <c r="M10" s="5">
        <f t="shared" si="1"/>
        <v>0.2304339762611276</v>
      </c>
      <c r="N10">
        <v>3.6871616128815049E-122</v>
      </c>
      <c r="O10">
        <v>2.8431459537767139E-108</v>
      </c>
      <c r="P10">
        <v>5.9970396464474274E-91</v>
      </c>
      <c r="Q10">
        <v>1.1742329335089581E-77</v>
      </c>
      <c r="R10" s="5">
        <f t="shared" si="2"/>
        <v>2.9355823337725453E-78</v>
      </c>
    </row>
    <row r="11" spans="1:20" x14ac:dyDescent="0.3">
      <c r="A11">
        <v>5</v>
      </c>
      <c r="B11" t="s">
        <v>8</v>
      </c>
      <c r="C11" t="s">
        <v>14</v>
      </c>
      <c r="D11" s="7">
        <v>381948.68674408592</v>
      </c>
      <c r="E11" s="7">
        <v>207975.18847089709</v>
      </c>
      <c r="F11" s="7">
        <v>140141.77058946001</v>
      </c>
      <c r="G11" s="7">
        <v>221873.3563002478</v>
      </c>
      <c r="H11" s="5">
        <f t="shared" si="0"/>
        <v>237984.75052617272</v>
      </c>
      <c r="I11">
        <v>4.8993620324363087E-2</v>
      </c>
      <c r="J11">
        <v>4.0408151388318707E-2</v>
      </c>
      <c r="K11">
        <v>3.5260690898444517E-2</v>
      </c>
      <c r="L11">
        <v>3.4449483386168843E-2</v>
      </c>
      <c r="M11" s="5">
        <f t="shared" si="1"/>
        <v>3.9777986499323792E-2</v>
      </c>
      <c r="N11">
        <v>1.6204261392972161E-4</v>
      </c>
      <c r="O11">
        <v>3.2767956713791861E-3</v>
      </c>
      <c r="P11">
        <v>1.5035678402546779E-2</v>
      </c>
      <c r="Q11">
        <v>1.8805236728951721E-2</v>
      </c>
      <c r="R11" s="5">
        <f t="shared" si="2"/>
        <v>9.3199383542018517E-3</v>
      </c>
    </row>
    <row r="12" spans="1:20" x14ac:dyDescent="0.3">
      <c r="A12">
        <v>5</v>
      </c>
      <c r="B12" t="s">
        <v>9</v>
      </c>
      <c r="C12" t="s">
        <v>14</v>
      </c>
      <c r="D12" s="7">
        <v>118344.5065935704</v>
      </c>
      <c r="E12" s="7">
        <v>109272.8972328026</v>
      </c>
      <c r="F12" s="7">
        <v>53577.093078740727</v>
      </c>
      <c r="G12" s="7">
        <v>76213.213935638196</v>
      </c>
      <c r="H12" s="5">
        <f t="shared" si="0"/>
        <v>89351.927710187971</v>
      </c>
      <c r="I12">
        <v>4.7284973693019421E-2</v>
      </c>
      <c r="J12">
        <v>4.2582195554355072E-2</v>
      </c>
      <c r="K12">
        <v>3.8662892995390913E-2</v>
      </c>
      <c r="L12">
        <v>3.8126689518713598E-2</v>
      </c>
      <c r="M12" s="5">
        <f t="shared" si="1"/>
        <v>4.1664187940369753E-2</v>
      </c>
      <c r="N12">
        <v>1.5356897764467759E-2</v>
      </c>
      <c r="O12">
        <v>3.8335979853203139E-2</v>
      </c>
      <c r="P12">
        <v>7.6655761610591136E-2</v>
      </c>
      <c r="Q12">
        <v>8.3687954478035592E-2</v>
      </c>
      <c r="R12" s="5">
        <f t="shared" si="2"/>
        <v>5.3509148426574407E-2</v>
      </c>
    </row>
    <row r="13" spans="1:20" x14ac:dyDescent="0.3">
      <c r="A13">
        <v>5</v>
      </c>
      <c r="B13" t="s">
        <v>10</v>
      </c>
      <c r="C13" t="s">
        <v>14</v>
      </c>
      <c r="D13" s="7">
        <v>26.120374203118899</v>
      </c>
      <c r="E13" s="7">
        <v>10.640034311771201</v>
      </c>
      <c r="F13" s="7">
        <v>4.3335943024489723</v>
      </c>
      <c r="G13" s="7">
        <v>5.5128084579288839</v>
      </c>
      <c r="H13" s="5">
        <f t="shared" si="0"/>
        <v>11.65170281881699</v>
      </c>
      <c r="I13">
        <v>4.9869247664717967E-2</v>
      </c>
      <c r="J13">
        <v>4.7053888097773382E-2</v>
      </c>
      <c r="K13">
        <v>1.28409279405925E-2</v>
      </c>
      <c r="L13">
        <v>1.7323658888614809E-2</v>
      </c>
      <c r="M13" s="5">
        <f t="shared" si="1"/>
        <v>3.1771930647924662E-2</v>
      </c>
      <c r="N13">
        <v>4.0233609591991068E-6</v>
      </c>
      <c r="O13">
        <v>1.695570218467137E-5</v>
      </c>
      <c r="P13">
        <v>0.76229447845769227</v>
      </c>
      <c r="Q13">
        <v>0.39508591570107171</v>
      </c>
      <c r="R13" s="5">
        <f t="shared" si="2"/>
        <v>0.28935034330547699</v>
      </c>
    </row>
    <row r="14" spans="1:20" x14ac:dyDescent="0.3">
      <c r="A14">
        <v>5</v>
      </c>
      <c r="B14" t="s">
        <v>11</v>
      </c>
      <c r="C14" t="s">
        <v>14</v>
      </c>
      <c r="D14" s="7">
        <v>7.2992338452529788</v>
      </c>
      <c r="E14" s="7">
        <v>4.3749273023757764</v>
      </c>
      <c r="F14" s="7">
        <v>3.844704312253945</v>
      </c>
      <c r="G14" s="7">
        <v>3.0362584707845599</v>
      </c>
      <c r="H14" s="5">
        <f t="shared" si="0"/>
        <v>4.6387809826668152</v>
      </c>
      <c r="I14">
        <v>4.988872403560831E-2</v>
      </c>
      <c r="J14">
        <v>4.7103639821448842E-2</v>
      </c>
      <c r="K14">
        <v>4.4794984572282023E-2</v>
      </c>
      <c r="L14">
        <v>1.6806240145015701E-2</v>
      </c>
      <c r="M14" s="5">
        <f t="shared" si="1"/>
        <v>3.9648397143588712E-2</v>
      </c>
      <c r="N14">
        <v>3.9878416984139709E-6</v>
      </c>
      <c r="O14">
        <v>1.6503685382406582E-5</v>
      </c>
      <c r="P14">
        <v>5.0568284350299913E-5</v>
      </c>
      <c r="Q14">
        <v>0.43305275190848791</v>
      </c>
      <c r="R14" s="5">
        <f t="shared" si="2"/>
        <v>0.10828095292997976</v>
      </c>
    </row>
    <row r="15" spans="1:20" x14ac:dyDescent="0.3">
      <c r="A15">
        <v>10</v>
      </c>
      <c r="B15" t="s">
        <v>8</v>
      </c>
      <c r="C15" t="s">
        <v>12</v>
      </c>
    </row>
    <row r="16" spans="1:20" x14ac:dyDescent="0.3">
      <c r="A16">
        <v>10</v>
      </c>
      <c r="B16" t="s">
        <v>9</v>
      </c>
      <c r="C16" t="s">
        <v>12</v>
      </c>
    </row>
    <row r="17" spans="1:20" x14ac:dyDescent="0.3">
      <c r="A17">
        <v>10</v>
      </c>
      <c r="B17" t="s">
        <v>10</v>
      </c>
      <c r="C17" t="s">
        <v>12</v>
      </c>
      <c r="S17">
        <v>396</v>
      </c>
      <c r="T17">
        <v>0.28575063037302428</v>
      </c>
    </row>
    <row r="18" spans="1:20" x14ac:dyDescent="0.3">
      <c r="A18">
        <v>10</v>
      </c>
      <c r="B18" t="s">
        <v>11</v>
      </c>
      <c r="C18" t="s">
        <v>12</v>
      </c>
    </row>
    <row r="19" spans="1:20" x14ac:dyDescent="0.3">
      <c r="A19">
        <v>10</v>
      </c>
      <c r="B19" t="s">
        <v>8</v>
      </c>
      <c r="C19" t="s">
        <v>13</v>
      </c>
    </row>
    <row r="20" spans="1:20" x14ac:dyDescent="0.3">
      <c r="A20">
        <v>10</v>
      </c>
      <c r="B20" t="s">
        <v>9</v>
      </c>
      <c r="C20" t="s">
        <v>13</v>
      </c>
    </row>
    <row r="21" spans="1:20" x14ac:dyDescent="0.3">
      <c r="A21">
        <v>10</v>
      </c>
      <c r="B21" t="s">
        <v>10</v>
      </c>
      <c r="C21" t="s">
        <v>13</v>
      </c>
    </row>
    <row r="22" spans="1:20" x14ac:dyDescent="0.3">
      <c r="A22">
        <v>10</v>
      </c>
      <c r="B22" t="s">
        <v>11</v>
      </c>
      <c r="C22" t="s">
        <v>13</v>
      </c>
    </row>
    <row r="23" spans="1:20" x14ac:dyDescent="0.3">
      <c r="A23">
        <v>10</v>
      </c>
      <c r="B23" t="s">
        <v>8</v>
      </c>
      <c r="C23" t="s">
        <v>14</v>
      </c>
    </row>
    <row r="24" spans="1:20" x14ac:dyDescent="0.3">
      <c r="A24">
        <v>10</v>
      </c>
      <c r="B24" t="s">
        <v>9</v>
      </c>
      <c r="C24" t="s">
        <v>14</v>
      </c>
    </row>
    <row r="25" spans="1:20" x14ac:dyDescent="0.3">
      <c r="A25">
        <v>10</v>
      </c>
      <c r="B25" t="s">
        <v>10</v>
      </c>
      <c r="C25" t="s">
        <v>14</v>
      </c>
    </row>
    <row r="26" spans="1:20" x14ac:dyDescent="0.3">
      <c r="A26">
        <v>10</v>
      </c>
      <c r="B26" t="s">
        <v>11</v>
      </c>
      <c r="C26" t="s">
        <v>14</v>
      </c>
    </row>
    <row r="27" spans="1:20" x14ac:dyDescent="0.3">
      <c r="A27">
        <v>15</v>
      </c>
      <c r="B27" t="s">
        <v>8</v>
      </c>
      <c r="C27" t="s">
        <v>12</v>
      </c>
    </row>
    <row r="28" spans="1:20" x14ac:dyDescent="0.3">
      <c r="A28">
        <v>15</v>
      </c>
      <c r="B28" t="s">
        <v>9</v>
      </c>
      <c r="C28" t="s">
        <v>12</v>
      </c>
      <c r="S28">
        <v>0</v>
      </c>
      <c r="T28">
        <v>1.1812924646610641E-9</v>
      </c>
    </row>
    <row r="29" spans="1:20" x14ac:dyDescent="0.3">
      <c r="A29">
        <v>15</v>
      </c>
      <c r="B29" t="s">
        <v>10</v>
      </c>
      <c r="C29" t="s">
        <v>12</v>
      </c>
      <c r="S29">
        <v>0</v>
      </c>
      <c r="T29">
        <v>3.2970532689972869E-9</v>
      </c>
    </row>
    <row r="30" spans="1:20" x14ac:dyDescent="0.3">
      <c r="A30">
        <v>15</v>
      </c>
      <c r="B30" t="s">
        <v>11</v>
      </c>
      <c r="C30" t="s">
        <v>12</v>
      </c>
      <c r="S30">
        <v>0</v>
      </c>
      <c r="T30">
        <v>4.2380554260794428E-10</v>
      </c>
    </row>
    <row r="31" spans="1:20" x14ac:dyDescent="0.3">
      <c r="A31">
        <v>15</v>
      </c>
      <c r="B31" t="s">
        <v>8</v>
      </c>
      <c r="C31" t="s">
        <v>13</v>
      </c>
    </row>
    <row r="32" spans="1:20" x14ac:dyDescent="0.3">
      <c r="A32">
        <v>15</v>
      </c>
      <c r="B32" t="s">
        <v>9</v>
      </c>
      <c r="C32" t="s">
        <v>13</v>
      </c>
    </row>
    <row r="33" spans="1:20" x14ac:dyDescent="0.3">
      <c r="A33">
        <v>15</v>
      </c>
      <c r="B33" t="s">
        <v>10</v>
      </c>
      <c r="C33" t="s">
        <v>13</v>
      </c>
    </row>
    <row r="34" spans="1:20" x14ac:dyDescent="0.3">
      <c r="A34">
        <v>15</v>
      </c>
      <c r="B34" t="s">
        <v>11</v>
      </c>
      <c r="C34" t="s">
        <v>13</v>
      </c>
    </row>
    <row r="35" spans="1:20" x14ac:dyDescent="0.3">
      <c r="A35">
        <v>15</v>
      </c>
      <c r="B35" t="s">
        <v>8</v>
      </c>
      <c r="C35" t="s">
        <v>14</v>
      </c>
    </row>
    <row r="36" spans="1:20" x14ac:dyDescent="0.3">
      <c r="A36">
        <v>15</v>
      </c>
      <c r="B36" t="s">
        <v>9</v>
      </c>
      <c r="C36" t="s">
        <v>14</v>
      </c>
    </row>
    <row r="37" spans="1:20" x14ac:dyDescent="0.3">
      <c r="A37">
        <v>15</v>
      </c>
      <c r="B37" t="s">
        <v>10</v>
      </c>
      <c r="C37" t="s">
        <v>14</v>
      </c>
    </row>
    <row r="38" spans="1:20" x14ac:dyDescent="0.3">
      <c r="A38">
        <v>15</v>
      </c>
      <c r="B38" t="s">
        <v>11</v>
      </c>
      <c r="C38" t="s">
        <v>14</v>
      </c>
    </row>
    <row r="39" spans="1:20" x14ac:dyDescent="0.3">
      <c r="A39">
        <v>20</v>
      </c>
      <c r="B39" t="s">
        <v>8</v>
      </c>
      <c r="C39" t="s">
        <v>12</v>
      </c>
    </row>
    <row r="40" spans="1:20" x14ac:dyDescent="0.3">
      <c r="A40">
        <v>20</v>
      </c>
      <c r="B40" t="s">
        <v>9</v>
      </c>
      <c r="C40" t="s">
        <v>12</v>
      </c>
      <c r="S40">
        <v>0</v>
      </c>
      <c r="T40">
        <v>5.2294340027904848E-22</v>
      </c>
    </row>
    <row r="41" spans="1:20" x14ac:dyDescent="0.3">
      <c r="A41">
        <v>20</v>
      </c>
      <c r="B41" t="s">
        <v>10</v>
      </c>
      <c r="C41" t="s">
        <v>12</v>
      </c>
    </row>
    <row r="42" spans="1:20" x14ac:dyDescent="0.3">
      <c r="A42">
        <v>20</v>
      </c>
      <c r="B42" t="s">
        <v>11</v>
      </c>
      <c r="C42" t="s">
        <v>12</v>
      </c>
      <c r="S42">
        <v>0</v>
      </c>
      <c r="T42">
        <v>1.522292196256305E-10</v>
      </c>
    </row>
    <row r="43" spans="1:20" x14ac:dyDescent="0.3">
      <c r="A43">
        <v>20</v>
      </c>
      <c r="B43" t="s">
        <v>8</v>
      </c>
      <c r="C43" t="s">
        <v>13</v>
      </c>
    </row>
    <row r="44" spans="1:20" x14ac:dyDescent="0.3">
      <c r="A44">
        <v>20</v>
      </c>
      <c r="B44" t="s">
        <v>9</v>
      </c>
      <c r="C44" t="s">
        <v>13</v>
      </c>
    </row>
    <row r="45" spans="1:20" x14ac:dyDescent="0.3">
      <c r="A45">
        <v>20</v>
      </c>
      <c r="B45" t="s">
        <v>10</v>
      </c>
      <c r="C45" t="s">
        <v>13</v>
      </c>
    </row>
    <row r="46" spans="1:20" x14ac:dyDescent="0.3">
      <c r="A46">
        <v>20</v>
      </c>
      <c r="B46" t="s">
        <v>11</v>
      </c>
      <c r="C46" t="s">
        <v>13</v>
      </c>
    </row>
    <row r="47" spans="1:20" x14ac:dyDescent="0.3">
      <c r="A47">
        <v>20</v>
      </c>
      <c r="B47" t="s">
        <v>8</v>
      </c>
      <c r="C47" t="s">
        <v>14</v>
      </c>
    </row>
    <row r="48" spans="1:20" x14ac:dyDescent="0.3">
      <c r="A48">
        <v>20</v>
      </c>
      <c r="B48" t="s">
        <v>9</v>
      </c>
      <c r="C48" t="s">
        <v>14</v>
      </c>
    </row>
    <row r="49" spans="1:3" x14ac:dyDescent="0.3">
      <c r="A49">
        <v>20</v>
      </c>
      <c r="B49" t="s">
        <v>10</v>
      </c>
      <c r="C49" t="s">
        <v>14</v>
      </c>
    </row>
    <row r="50" spans="1:3" x14ac:dyDescent="0.3">
      <c r="A50">
        <v>20</v>
      </c>
      <c r="B50" t="s">
        <v>11</v>
      </c>
      <c r="C50" t="s">
        <v>14</v>
      </c>
    </row>
  </sheetData>
  <mergeCells count="3">
    <mergeCell ref="D1:G1"/>
    <mergeCell ref="I1:L1"/>
    <mergeCell ref="N1:Q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FCC8-0169-4BC0-B301-4402C8D65FCA}">
  <dimension ref="A1:F8"/>
  <sheetViews>
    <sheetView workbookViewId="0">
      <selection activeCell="H23" sqref="H23"/>
    </sheetView>
  </sheetViews>
  <sheetFormatPr baseColWidth="10" defaultRowHeight="14.4" x14ac:dyDescent="0.3"/>
  <sheetData>
    <row r="1" spans="1:6" x14ac:dyDescent="0.3">
      <c r="A1" s="1" t="s">
        <v>1</v>
      </c>
      <c r="B1" s="1" t="s">
        <v>2</v>
      </c>
      <c r="C1" s="8" t="s">
        <v>3</v>
      </c>
      <c r="D1" s="9"/>
      <c r="E1" s="9"/>
      <c r="F1" s="10"/>
    </row>
    <row r="2" spans="1:6" x14ac:dyDescent="0.3">
      <c r="A2" s="2"/>
      <c r="B2" s="2"/>
      <c r="C2" s="2">
        <v>5</v>
      </c>
      <c r="D2" s="2">
        <v>10</v>
      </c>
      <c r="E2" s="2">
        <v>15</v>
      </c>
      <c r="F2" s="2">
        <v>20</v>
      </c>
    </row>
    <row r="3" spans="1:6" x14ac:dyDescent="0.3">
      <c r="A3" s="11" t="s">
        <v>8</v>
      </c>
      <c r="B3" t="s">
        <v>12</v>
      </c>
      <c r="C3">
        <v>0</v>
      </c>
      <c r="D3">
        <v>0</v>
      </c>
      <c r="E3">
        <v>0</v>
      </c>
      <c r="F3">
        <v>0</v>
      </c>
    </row>
    <row r="4" spans="1:6" x14ac:dyDescent="0.3">
      <c r="A4" s="11"/>
      <c r="B4" t="s">
        <v>13</v>
      </c>
      <c r="C4" s="7">
        <v>441943.77344497858</v>
      </c>
      <c r="D4" s="7">
        <v>576838.07097249967</v>
      </c>
      <c r="E4" s="7">
        <v>481734.39237713261</v>
      </c>
      <c r="F4" s="7">
        <v>1456705.5722901861</v>
      </c>
    </row>
    <row r="5" spans="1:6" x14ac:dyDescent="0.3">
      <c r="A5" s="11"/>
      <c r="B5" t="s">
        <v>14</v>
      </c>
      <c r="C5" s="7">
        <v>381948.68674408592</v>
      </c>
      <c r="D5" s="7">
        <v>207975.18847089709</v>
      </c>
      <c r="E5" s="7">
        <v>140141.77058946001</v>
      </c>
      <c r="F5" s="7">
        <v>221873.3563002478</v>
      </c>
    </row>
    <row r="6" spans="1:6" x14ac:dyDescent="0.3">
      <c r="A6" s="11" t="s">
        <v>9</v>
      </c>
      <c r="B6" t="s">
        <v>12</v>
      </c>
      <c r="C6">
        <v>0</v>
      </c>
      <c r="D6">
        <v>0</v>
      </c>
      <c r="E6">
        <v>0</v>
      </c>
      <c r="F6">
        <v>0</v>
      </c>
    </row>
    <row r="7" spans="1:6" x14ac:dyDescent="0.3">
      <c r="A7" s="11"/>
      <c r="B7" t="s">
        <v>13</v>
      </c>
      <c r="C7" s="7">
        <v>146858.0813393452</v>
      </c>
      <c r="D7" s="7">
        <v>345738.23791215249</v>
      </c>
      <c r="E7" s="7">
        <v>268729.28740122193</v>
      </c>
      <c r="F7" s="7">
        <v>575442.39566855389</v>
      </c>
    </row>
    <row r="8" spans="1:6" x14ac:dyDescent="0.3">
      <c r="A8" s="11"/>
      <c r="B8" t="s">
        <v>14</v>
      </c>
      <c r="C8" s="7">
        <v>118344.5065935704</v>
      </c>
      <c r="D8" s="7">
        <v>109272.8972328026</v>
      </c>
      <c r="E8" s="7">
        <v>53577.093078740727</v>
      </c>
      <c r="F8" s="7">
        <v>76213.213935638196</v>
      </c>
    </row>
  </sheetData>
  <mergeCells count="3">
    <mergeCell ref="C1:F1"/>
    <mergeCell ref="A3:A5"/>
    <mergeCell ref="A6:A8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Landes</cp:lastModifiedBy>
  <dcterms:created xsi:type="dcterms:W3CDTF">2025-02-25T19:25:46Z</dcterms:created>
  <dcterms:modified xsi:type="dcterms:W3CDTF">2025-03-05T22:28:05Z</dcterms:modified>
</cp:coreProperties>
</file>